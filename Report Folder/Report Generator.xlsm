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wood\Desktop\Report Folder\"/>
    </mc:Choice>
  </mc:AlternateContent>
  <xr:revisionPtr revIDLastSave="0" documentId="13_ncr:1_{DB0B38A5-154D-4880-888B-8D4BD18F4E0F}" xr6:coauthVersionLast="45" xr6:coauthVersionMax="45" xr10:uidLastSave="{00000000-0000-0000-0000-000000000000}"/>
  <bookViews>
    <workbookView xWindow="28680" yWindow="-120" windowWidth="29040" windowHeight="15840" tabRatio="664" xr2:uid="{94DC75B4-D4E7-4C32-BB27-9B025FE0CE0D}"/>
  </bookViews>
  <sheets>
    <sheet name="AUTOMATION" sheetId="1" r:id="rId1"/>
    <sheet name="Instructions" sheetId="2" state="hidden" r:id="rId2"/>
    <sheet name="Dashboard" sheetId="8" r:id="rId3"/>
    <sheet name="DATA" sheetId="12" r:id="rId4"/>
    <sheet name="LU" sheetId="18" r:id="rId5"/>
  </sheets>
  <functionGroups builtInGroupCount="19"/>
  <externalReferences>
    <externalReference r:id="rId6"/>
  </externalReferences>
  <definedNames>
    <definedName name="_xlnm._FilterDatabase" localSheetId="3" hidden="1">DATA!$A$1:$AD$1</definedName>
    <definedName name="AdjusterList">OFFSET(LU!#REF!,0,0,COUNTA(LU!#REF!),1)</definedName>
    <definedName name="Break">AUTOMATION!#REF!</definedName>
    <definedName name="CAT">OFFSET(#REF!,0,0,COUNTIFS(#REF!,"&lt;&gt;No"),1)</definedName>
    <definedName name="CDT">OFFSET(#REF!,0,0,COUNTIFS(#REF!,"&lt;&gt;No"),1)</definedName>
    <definedName name="DistributionList">AUTOMATION!$J$1</definedName>
    <definedName name="EmailSubject">AUTOMATION!$J$2</definedName>
    <definedName name="EndPrompt">AUTOMATION!#REF!</definedName>
    <definedName name="Filter1">LU!$I$1:$I$9</definedName>
    <definedName name="Filter2">LU!$J$1:$J$9</definedName>
    <definedName name="Filter3">LU!$K$1:$K$9</definedName>
    <definedName name="Filter4">LU!$L$1:$L$9</definedName>
    <definedName name="Filter5">LU!$M$1:$M$9</definedName>
    <definedName name="Filter6">LU!$N$1:$N$9</definedName>
    <definedName name="Filter7">LU!$O$1:$O$9</definedName>
    <definedName name="GraphRange">OFFSET(#REF!,0,0,MATCH(1E+306,#REF!,1),4)</definedName>
    <definedName name="Legacy">OFFSET(#REF!,0,0,COUNTIFS(#REF!,"&lt;&gt;No"),1)</definedName>
    <definedName name="ReportName">AUTOMATION!$J$2</definedName>
    <definedName name="ReportPath">AUTOMATION!$C$21</definedName>
    <definedName name="Stage2Prompt">AUTOMATION!#REF!</definedName>
    <definedName name="TODAY">LU!$D$1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" i="12" l="1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D1" i="18"/>
  <c r="B1" i="8" s="1"/>
  <c r="N7" i="8" l="1"/>
  <c r="D6" i="8"/>
  <c r="I7" i="8"/>
  <c r="N5" i="8"/>
  <c r="D5" i="8"/>
  <c r="N6" i="8"/>
  <c r="I5" i="8"/>
  <c r="I6" i="8"/>
</calcChain>
</file>

<file path=xl/sharedStrings.xml><?xml version="1.0" encoding="utf-8"?>
<sst xmlns="http://schemas.openxmlformats.org/spreadsheetml/2006/main" count="325" uniqueCount="112">
  <si>
    <t>Import</t>
  </si>
  <si>
    <t>y</t>
  </si>
  <si>
    <t>n</t>
  </si>
  <si>
    <t>Output</t>
  </si>
  <si>
    <t>Input sheet</t>
  </si>
  <si>
    <r>
      <t xml:space="preserve">Run?
</t>
    </r>
    <r>
      <rPr>
        <sz val="8"/>
        <color theme="1"/>
        <rFont val="Calibri"/>
        <family val="2"/>
        <scheme val="minor"/>
      </rPr>
      <t>(y/n)</t>
    </r>
  </si>
  <si>
    <r>
      <t xml:space="preserve">Value sheet in output?
</t>
    </r>
    <r>
      <rPr>
        <sz val="8"/>
        <color theme="1"/>
        <rFont val="Calibri"/>
        <family val="2"/>
        <scheme val="minor"/>
      </rPr>
      <t>(y/n)</t>
    </r>
  </si>
  <si>
    <t>Sheet Name</t>
  </si>
  <si>
    <t>Output Sheet 1</t>
  </si>
  <si>
    <t>Output Sheet 2</t>
  </si>
  <si>
    <t>Output Sheet 3</t>
  </si>
  <si>
    <t>i</t>
  </si>
  <si>
    <t>o</t>
  </si>
  <si>
    <r>
      <t xml:space="preserve">Filter
</t>
    </r>
    <r>
      <rPr>
        <sz val="8"/>
        <color theme="1"/>
        <rFont val="Calibri"/>
        <family val="2"/>
        <scheme val="minor"/>
      </rPr>
      <t>(eg "01/06/2019")</t>
    </r>
  </si>
  <si>
    <t>Steps</t>
  </si>
  <si>
    <t>Instructions</t>
  </si>
  <si>
    <r>
      <t xml:space="preserve">Import sheet contains headers? 
</t>
    </r>
    <r>
      <rPr>
        <sz val="8"/>
        <color theme="1"/>
        <rFont val="Calibri"/>
        <family val="2"/>
        <scheme val="minor"/>
      </rPr>
      <t>(0 = no headers
1 = headers in row 1
2 = headers in row 2
etc etc)</t>
    </r>
  </si>
  <si>
    <r>
      <t xml:space="preserve">Input Type </t>
    </r>
    <r>
      <rPr>
        <sz val="8"/>
        <color theme="1"/>
        <rFont val="Calibri"/>
        <family val="2"/>
        <scheme val="minor"/>
      </rPr>
      <t>(Append/Overwrite)</t>
    </r>
  </si>
  <si>
    <r>
      <t xml:space="preserve">Import sheet contains footers?
</t>
    </r>
    <r>
      <rPr>
        <sz val="8"/>
        <color theme="1"/>
        <rFont val="Calibri"/>
        <family val="2"/>
        <scheme val="minor"/>
      </rPr>
      <t>(0 = no footers
1 = footers in last row
2 = footers in last 2 rows
etc etc)</t>
    </r>
  </si>
  <si>
    <r>
      <t xml:space="preserve">Filter Col#
</t>
    </r>
    <r>
      <rPr>
        <sz val="8"/>
        <color theme="1"/>
        <rFont val="Calibri"/>
        <family val="2"/>
        <scheme val="minor"/>
      </rPr>
      <t>(eg "3" for column C)</t>
    </r>
  </si>
  <si>
    <t>Filter Col#
(eg "3" for column C)</t>
  </si>
  <si>
    <r>
      <t xml:space="preserve">Import File
</t>
    </r>
    <r>
      <rPr>
        <sz val="8"/>
        <color theme="1"/>
        <rFont val="Calibri"/>
        <family val="2"/>
        <scheme val="minor"/>
      </rPr>
      <t>(full path and file extension(if on network server use full network address "\\server\etc etc"))</t>
    </r>
  </si>
  <si>
    <r>
      <t xml:space="preserve">Output File
</t>
    </r>
    <r>
      <rPr>
        <sz val="8"/>
        <color theme="1"/>
        <rFont val="Calibri"/>
        <family val="2"/>
        <scheme val="minor"/>
      </rPr>
      <t>(full path and file extension(if on network server use full network address "\\server\etc etc"))</t>
    </r>
  </si>
  <si>
    <t>Boxing Day</t>
  </si>
  <si>
    <t>Christmas Day</t>
  </si>
  <si>
    <t>Anzac Day</t>
  </si>
  <si>
    <t>Easter Monday</t>
  </si>
  <si>
    <t>Good Friday</t>
  </si>
  <si>
    <t>Australia Day</t>
  </si>
  <si>
    <t>New Years</t>
  </si>
  <si>
    <t>Queens Bday</t>
  </si>
  <si>
    <t>Ekka</t>
  </si>
  <si>
    <t>Labour Day</t>
  </si>
  <si>
    <t>Queensland</t>
  </si>
  <si>
    <r>
      <t xml:space="preserve">Filter or hide?
</t>
    </r>
    <r>
      <rPr>
        <sz val="8"/>
        <color theme="1"/>
        <rFont val="Calibri"/>
        <family val="2"/>
        <scheme val="minor"/>
      </rPr>
      <t>(y/n/h)</t>
    </r>
  </si>
  <si>
    <t>h</t>
  </si>
  <si>
    <t>Public Folders ‎&gt; Jodi ‎&gt; Scheduled Reports ‎&gt; Daily Reports ‎&gt; Allianz ‎&gt; Huddle Board</t>
  </si>
  <si>
    <t>Overwrite</t>
  </si>
  <si>
    <t>end with the sheet you want to open on ----&gt;</t>
  </si>
  <si>
    <t>---Calculate all sheets---</t>
  </si>
  <si>
    <t>Output Sheet 4</t>
  </si>
  <si>
    <t>Output Sheet 5</t>
  </si>
  <si>
    <t>Output Sheet 6</t>
  </si>
  <si>
    <t>Output Sheet 7</t>
  </si>
  <si>
    <t>Output Sheet 8</t>
  </si>
  <si>
    <t>Output Sheet 9</t>
  </si>
  <si>
    <t>Output Sheet 10</t>
  </si>
  <si>
    <t>Output Sheet 11</t>
  </si>
  <si>
    <t>Output Sheet 12</t>
  </si>
  <si>
    <t>Output Sheet 13</t>
  </si>
  <si>
    <t>Output Sheet 14</t>
  </si>
  <si>
    <t>Output Sheet 15</t>
  </si>
  <si>
    <t>Dashboard</t>
  </si>
  <si>
    <t>Dist-&gt;</t>
  </si>
  <si>
    <t>Filters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</si>
  <si>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</si>
  <si>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</si>
  <si>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</si>
  <si>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</si>
  <si>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</si>
  <si>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</si>
  <si>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</si>
  <si>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</si>
  <si>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Field 15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</si>
  <si>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</si>
  <si>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</si>
  <si>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</si>
  <si>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</si>
  <si>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</si>
  <si>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</si>
  <si>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</si>
  <si>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</si>
  <si>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</si>
  <si>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</si>
  <si>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</si>
  <si>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</si>
  <si>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Formula 13</t>
  </si>
  <si>
    <t>Formula 14</t>
  </si>
  <si>
    <t>C:\Users\jwood\Desktop\Report Folder\__ProductionFiles\testimp.xlsx</t>
  </si>
  <si>
    <t>C:\Users\jwood\Desktop\Report Folder\testoutput.xlsb</t>
  </si>
  <si>
    <t>LU</t>
  </si>
  <si>
    <t>DATA</t>
  </si>
  <si>
    <t>joerg.wood@gmail.com</t>
  </si>
  <si>
    <t>Summary Section 1</t>
  </si>
  <si>
    <t>Summary Section 2</t>
  </si>
  <si>
    <t>Summary Section 3</t>
  </si>
  <si>
    <t>All</t>
  </si>
  <si>
    <t>Summary 1</t>
  </si>
  <si>
    <t>Summary 2</t>
  </si>
  <si>
    <t>Summary 3</t>
  </si>
  <si>
    <t>Subject-&gt;</t>
  </si>
  <si>
    <t>Email Subject Test</t>
  </si>
  <si>
    <t>-----</t>
  </si>
  <si>
    <t>Example Field 1</t>
  </si>
  <si>
    <t>Example Field 2</t>
  </si>
  <si>
    <t>Example Field 3</t>
  </si>
  <si>
    <t>Example Field 4</t>
  </si>
  <si>
    <t>Example Field 5</t>
  </si>
  <si>
    <t>Example Field 6</t>
  </si>
  <si>
    <t>Example Field 7</t>
  </si>
  <si>
    <t>Example Field 8</t>
  </si>
  <si>
    <t>Example Field 9</t>
  </si>
  <si>
    <t>Example Field 10</t>
  </si>
  <si>
    <t>Example Field 11</t>
  </si>
  <si>
    <t>Example Field 12</t>
  </si>
  <si>
    <t>Example Field 13</t>
  </si>
  <si>
    <t>Example Field 14</t>
  </si>
  <si>
    <t>Example Field 15</t>
  </si>
  <si>
    <t>asdasdas</t>
  </si>
  <si>
    <t>312e41e12</t>
  </si>
  <si>
    <t>asdasd</t>
  </si>
  <si>
    <t>asd asd 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</si>
</sst>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6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0"/>
      <color theme="1"/>
      <name val="Tahoma"/>
      <family val="2"/>
    </font>
    <font>
      <sz val="8"/>
      <color rgb="FF454545"/>
      <name val="Arial"/>
      <family val="2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5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hair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hair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15" fillId="0" borderId="0"/>
    <xf numFmtId="0" fontId="17" fillId="0" borderId="0"/>
    <xf numFmtId="0" fontId="9" fillId="0" borderId="0"/>
    <xf numFmtId="0" fontId="18" fillId="0" borderId="0"/>
    <xf numFmtId="0" fontId="20" fillId="6" borderId="38" applyNumberFormat="0" applyAlignment="0" applyProtection="0"/>
    <xf numFmtId="0" fontId="21" fillId="7" borderId="38" applyNumberFormat="0" applyAlignment="0" applyProtection="0"/>
    <xf numFmtId="0" fontId="23" fillId="0" borderId="0" applyNumberFormat="0" applyFill="0" applyBorder="0" applyAlignment="0" applyProtection="0"/>
  </cellStyleXfs>
  <cellXfs count="100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vertical="center"/>
    </xf>
    <xf numFmtId="0" fontId="4" fillId="3" borderId="0" xfId="0" quotePrefix="1" applyFont="1" applyFill="1" applyAlignment="1">
      <alignment horizontal="left"/>
    </xf>
    <xf numFmtId="0" fontId="2" fillId="4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vertical="center" wrapText="1"/>
    </xf>
    <xf numFmtId="0" fontId="0" fillId="4" borderId="3" xfId="0" applyFill="1" applyBorder="1" applyAlignment="1">
      <alignment horizontal="center"/>
    </xf>
    <xf numFmtId="0" fontId="0" fillId="4" borderId="3" xfId="0" applyFill="1" applyBorder="1"/>
    <xf numFmtId="0" fontId="4" fillId="4" borderId="0" xfId="0" quotePrefix="1" applyFont="1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vertical="center" wrapText="1"/>
    </xf>
    <xf numFmtId="0" fontId="0" fillId="4" borderId="8" xfId="0" applyFill="1" applyBorder="1" applyAlignment="1">
      <alignment vertical="center" wrapText="1"/>
    </xf>
    <xf numFmtId="0" fontId="0" fillId="4" borderId="9" xfId="0" applyFill="1" applyBorder="1" applyAlignment="1">
      <alignment vertical="center" wrapText="1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4" xfId="0" applyFill="1" applyBorder="1" applyAlignment="1">
      <alignment horizontal="center"/>
    </xf>
    <xf numFmtId="0" fontId="0" fillId="4" borderId="4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5" xfId="0" applyFill="1" applyBorder="1" applyAlignment="1">
      <alignment horizontal="center"/>
    </xf>
    <xf numFmtId="0" fontId="0" fillId="4" borderId="5" xfId="0" applyFill="1" applyBorder="1"/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vertical="center" wrapText="1"/>
    </xf>
    <xf numFmtId="0" fontId="6" fillId="5" borderId="16" xfId="1" applyFont="1" applyFill="1" applyBorder="1"/>
    <xf numFmtId="0" fontId="6" fillId="5" borderId="17" xfId="1" applyFont="1" applyFill="1" applyBorder="1" applyAlignment="1">
      <alignment horizontal="left" vertical="top"/>
    </xf>
    <xf numFmtId="0" fontId="5" fillId="5" borderId="18" xfId="1" applyFont="1" applyFill="1" applyBorder="1"/>
    <xf numFmtId="0" fontId="5" fillId="5" borderId="19" xfId="1" applyFont="1" applyFill="1" applyBorder="1" applyAlignment="1">
      <alignment horizontal="left" vertical="top"/>
    </xf>
    <xf numFmtId="0" fontId="7" fillId="5" borderId="20" xfId="1" applyFont="1" applyFill="1" applyBorder="1" applyAlignment="1">
      <alignment horizontal="center" vertical="center"/>
    </xf>
    <xf numFmtId="0" fontId="5" fillId="5" borderId="21" xfId="1" applyFont="1" applyFill="1" applyBorder="1" applyAlignment="1">
      <alignment horizontal="left" vertical="top"/>
    </xf>
    <xf numFmtId="0" fontId="7" fillId="5" borderId="18" xfId="1" applyFont="1" applyFill="1" applyBorder="1" applyAlignment="1">
      <alignment horizontal="center" vertical="center"/>
    </xf>
    <xf numFmtId="0" fontId="5" fillId="5" borderId="22" xfId="1" applyFont="1" applyFill="1" applyBorder="1"/>
    <xf numFmtId="0" fontId="5" fillId="5" borderId="23" xfId="1" applyFont="1" applyFill="1" applyBorder="1" applyAlignment="1">
      <alignment horizontal="left" vertical="top"/>
    </xf>
    <xf numFmtId="0" fontId="10" fillId="3" borderId="0" xfId="0" applyFont="1" applyFill="1"/>
    <xf numFmtId="0" fontId="10" fillId="3" borderId="27" xfId="0" applyFont="1" applyFill="1" applyBorder="1"/>
    <xf numFmtId="0" fontId="10" fillId="3" borderId="29" xfId="0" applyFont="1" applyFill="1" applyBorder="1"/>
    <xf numFmtId="0" fontId="15" fillId="0" borderId="0" xfId="2"/>
    <xf numFmtId="0" fontId="16" fillId="0" borderId="37" xfId="0" applyFont="1" applyBorder="1" applyAlignment="1">
      <alignment vertical="top"/>
    </xf>
    <xf numFmtId="14" fontId="16" fillId="0" borderId="37" xfId="0" applyNumberFormat="1" applyFont="1" applyBorder="1" applyAlignment="1">
      <alignment vertical="top"/>
    </xf>
    <xf numFmtId="14" fontId="15" fillId="0" borderId="0" xfId="2" applyNumberFormat="1"/>
    <xf numFmtId="0" fontId="18" fillId="0" borderId="0" xfId="5"/>
    <xf numFmtId="14" fontId="19" fillId="0" borderId="0" xfId="5" applyNumberFormat="1" applyFont="1"/>
    <xf numFmtId="0" fontId="19" fillId="0" borderId="0" xfId="5" applyFont="1"/>
    <xf numFmtId="0" fontId="1" fillId="2" borderId="5" xfId="1" applyBorder="1" applyAlignment="1">
      <alignment horizontal="center"/>
    </xf>
    <xf numFmtId="0" fontId="1" fillId="2" borderId="3" xfId="1" applyBorder="1" applyAlignment="1">
      <alignment horizontal="center"/>
    </xf>
    <xf numFmtId="0" fontId="4" fillId="3" borderId="0" xfId="0" applyFont="1" applyFill="1" applyAlignment="1">
      <alignment horizontal="right"/>
    </xf>
    <xf numFmtId="14" fontId="16" fillId="0" borderId="37" xfId="0" applyNumberFormat="1" applyFont="1" applyFill="1" applyBorder="1" applyAlignment="1">
      <alignment vertical="top"/>
    </xf>
    <xf numFmtId="14" fontId="15" fillId="0" borderId="0" xfId="2" applyNumberFormat="1" applyFill="1"/>
    <xf numFmtId="0" fontId="15" fillId="0" borderId="0" xfId="2" applyFill="1"/>
    <xf numFmtId="0" fontId="0" fillId="3" borderId="0" xfId="0" applyFill="1" applyAlignment="1">
      <alignment horizontal="right" vertical="center"/>
    </xf>
    <xf numFmtId="0" fontId="0" fillId="0" borderId="0" xfId="0" pivotButton="1"/>
    <xf numFmtId="0" fontId="23" fillId="4" borderId="3" xfId="8" applyFill="1" applyBorder="1"/>
    <xf numFmtId="14" fontId="0" fillId="0" borderId="0" xfId="0" pivotButton="1" applyNumberFormat="1"/>
    <xf numFmtId="0" fontId="13" fillId="8" borderId="0" xfId="0" applyFont="1" applyFill="1"/>
    <xf numFmtId="0" fontId="14" fillId="8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left" vertical="center"/>
    </xf>
    <xf numFmtId="0" fontId="13" fillId="8" borderId="0" xfId="0" applyFont="1" applyFill="1" applyBorder="1" applyAlignment="1">
      <alignment horizontal="left" vertical="center"/>
    </xf>
    <xf numFmtId="0" fontId="10" fillId="8" borderId="0" xfId="0" applyFont="1" applyFill="1" applyBorder="1"/>
    <xf numFmtId="0" fontId="24" fillId="8" borderId="0" xfId="0" applyFont="1" applyFill="1" applyBorder="1" applyAlignment="1">
      <alignment vertical="center"/>
    </xf>
    <xf numFmtId="0" fontId="13" fillId="8" borderId="0" xfId="0" applyFont="1" applyFill="1" applyBorder="1"/>
    <xf numFmtId="0" fontId="12" fillId="8" borderId="0" xfId="0" applyFont="1" applyFill="1"/>
    <xf numFmtId="0" fontId="12" fillId="8" borderId="40" xfId="0" applyFont="1" applyFill="1" applyBorder="1"/>
    <xf numFmtId="0" fontId="10" fillId="8" borderId="0" xfId="0" applyFont="1" applyFill="1"/>
    <xf numFmtId="0" fontId="14" fillId="8" borderId="0" xfId="0" applyFont="1" applyFill="1" applyAlignment="1">
      <alignment horizontal="center" vertical="center"/>
    </xf>
    <xf numFmtId="0" fontId="10" fillId="8" borderId="40" xfId="0" applyFont="1" applyFill="1" applyBorder="1"/>
    <xf numFmtId="0" fontId="10" fillId="8" borderId="0" xfId="0" applyFont="1" applyFill="1" applyAlignment="1">
      <alignment horizontal="center" vertical="center"/>
    </xf>
    <xf numFmtId="14" fontId="10" fillId="8" borderId="40" xfId="0" applyNumberFormat="1" applyFont="1" applyFill="1" applyBorder="1"/>
    <xf numFmtId="0" fontId="24" fillId="8" borderId="39" xfId="0" applyFont="1" applyFill="1" applyBorder="1" applyAlignment="1">
      <alignment horizontal="left" vertical="center"/>
    </xf>
    <xf numFmtId="14" fontId="20" fillId="6" borderId="38" xfId="6" applyNumberFormat="1" applyAlignment="1">
      <alignment vertical="top"/>
    </xf>
    <xf numFmtId="1" fontId="10" fillId="3" borderId="24" xfId="0" applyNumberFormat="1" applyFont="1" applyFill="1" applyBorder="1"/>
    <xf numFmtId="0" fontId="0" fillId="3" borderId="0" xfId="0" applyFill="1" applyAlignment="1">
      <alignment horizontal="right"/>
    </xf>
    <xf numFmtId="0" fontId="2" fillId="4" borderId="1" xfId="0" quotePrefix="1" applyFont="1" applyFill="1" applyBorder="1" applyAlignment="1">
      <alignment vertical="center" wrapText="1"/>
    </xf>
    <xf numFmtId="14" fontId="20" fillId="6" borderId="41" xfId="6" applyNumberFormat="1" applyBorder="1" applyAlignment="1">
      <alignment vertical="top"/>
    </xf>
    <xf numFmtId="0" fontId="21" fillId="7" borderId="38" xfId="7" applyAlignment="1">
      <alignment horizontal="left" vertical="top" wrapText="1"/>
    </xf>
    <xf numFmtId="0" fontId="2" fillId="4" borderId="6" xfId="0" applyFont="1" applyFill="1" applyBorder="1" applyAlignment="1">
      <alignment horizontal="center" wrapText="1"/>
    </xf>
    <xf numFmtId="0" fontId="21" fillId="7" borderId="38" xfId="7" applyAlignment="1">
      <alignment horizontal="left"/>
    </xf>
    <xf numFmtId="0" fontId="0" fillId="3" borderId="0" xfId="0" applyFill="1" applyAlignment="1">
      <alignment horizontal="center"/>
    </xf>
    <xf numFmtId="0" fontId="11" fillId="8" borderId="36" xfId="0" applyFont="1" applyFill="1" applyBorder="1" applyAlignment="1">
      <alignment horizontal="center"/>
    </xf>
    <xf numFmtId="0" fontId="11" fillId="8" borderId="35" xfId="0" applyFont="1" applyFill="1" applyBorder="1" applyAlignment="1">
      <alignment horizontal="center"/>
    </xf>
    <xf numFmtId="0" fontId="11" fillId="8" borderId="34" xfId="0" applyFont="1" applyFill="1" applyBorder="1" applyAlignment="1">
      <alignment horizontal="center"/>
    </xf>
    <xf numFmtId="0" fontId="10" fillId="3" borderId="30" xfId="0" applyFont="1" applyFill="1" applyBorder="1" applyAlignment="1">
      <alignment horizontal="left"/>
    </xf>
    <xf numFmtId="0" fontId="10" fillId="3" borderId="2" xfId="0" applyFont="1" applyFill="1" applyBorder="1" applyAlignment="1">
      <alignment horizontal="left"/>
    </xf>
    <xf numFmtId="0" fontId="10" fillId="3" borderId="28" xfId="0" applyFont="1" applyFill="1" applyBorder="1" applyAlignment="1">
      <alignment horizontal="left"/>
    </xf>
    <xf numFmtId="0" fontId="10" fillId="3" borderId="3" xfId="0" applyFont="1" applyFill="1" applyBorder="1" applyAlignment="1">
      <alignment horizontal="left"/>
    </xf>
    <xf numFmtId="0" fontId="10" fillId="3" borderId="26" xfId="0" applyFont="1" applyFill="1" applyBorder="1" applyAlignment="1">
      <alignment horizontal="left"/>
    </xf>
    <xf numFmtId="0" fontId="10" fillId="3" borderId="25" xfId="0" applyFont="1" applyFill="1" applyBorder="1" applyAlignment="1">
      <alignment horizontal="left"/>
    </xf>
    <xf numFmtId="0" fontId="11" fillId="8" borderId="33" xfId="0" applyFont="1" applyFill="1" applyBorder="1" applyAlignment="1">
      <alignment horizontal="center"/>
    </xf>
    <xf numFmtId="0" fontId="11" fillId="8" borderId="32" xfId="0" applyFont="1" applyFill="1" applyBorder="1" applyAlignment="1">
      <alignment horizontal="center"/>
    </xf>
    <xf numFmtId="0" fontId="11" fillId="8" borderId="31" xfId="0" applyFont="1" applyFill="1" applyBorder="1" applyAlignment="1">
      <alignment horizontal="center"/>
    </xf>
    <xf numFmtId="0" fontId="10" fillId="3" borderId="30" xfId="0" applyFont="1" applyFill="1" applyBorder="1" applyAlignment="1">
      <alignment horizontal="center" wrapText="1"/>
    </xf>
    <xf numFmtId="0" fontId="10" fillId="3" borderId="2" xfId="0" applyFont="1" applyFill="1" applyBorder="1" applyAlignment="1">
      <alignment horizontal="center" wrapText="1"/>
    </xf>
    <xf numFmtId="0" fontId="10" fillId="3" borderId="25" xfId="0" applyFont="1" applyFill="1" applyBorder="1" applyAlignment="1">
      <alignment horizontal="center" wrapText="1"/>
    </xf>
    <xf numFmtId="0" fontId="10" fillId="3" borderId="26" xfId="0" applyFont="1" applyFill="1" applyBorder="1" applyAlignment="1">
      <alignment horizontal="center" wrapText="1"/>
    </xf>
    <xf numFmtId="0" fontId="10" fillId="3" borderId="29" xfId="0" applyFont="1" applyFill="1" applyBorder="1" applyAlignment="1">
      <alignment horizontal="center" wrapText="1"/>
    </xf>
    <xf numFmtId="0" fontId="10" fillId="3" borderId="42" xfId="0" applyFont="1" applyFill="1" applyBorder="1" applyAlignment="1">
      <alignment horizontal="center" wrapText="1"/>
    </xf>
    <xf numFmtId="0" fontId="10" fillId="3" borderId="23" xfId="0" applyFont="1" applyFill="1" applyBorder="1" applyAlignment="1">
      <alignment horizontal="center" wrapText="1"/>
    </xf>
  </cellXfs>
  <cellStyles count="9">
    <cellStyle name="Calculation" xfId="6" builtinId="22"/>
    <cellStyle name="Good" xfId="1" builtinId="26"/>
    <cellStyle name="Hyperlink" xfId="8" builtinId="8"/>
    <cellStyle name="Input" xfId="7" builtinId="20"/>
    <cellStyle name="Normal" xfId="0" builtinId="0"/>
    <cellStyle name="Normal 15" xfId="4" xr:uid="{0EC9CC5A-FCD6-4A6F-82ED-50D2319D775D}"/>
    <cellStyle name="Normal 2" xfId="2" xr:uid="{3ABCBB65-30DF-42E0-A2DB-A490DADDFC63}"/>
    <cellStyle name="Normal 8" xfId="3" xr:uid="{5D05E3E0-CD3B-4B04-B36D-A89364D18507}"/>
    <cellStyle name="Normal 9" xfId="5" xr:uid="{D6CA86EE-79AD-421F-B0CC-478AED1257EF}"/>
  </cellStyles>
  <dxfs count="33">
    <dxf>
      <numFmt numFmtId="19" formatCode="d/mm/yyyy"/>
      <alignment horizontal="general" vertical="top" textRotation="0" wrapText="0" indent="0" justifyLastLine="0" shrinkToFit="0" readingOrder="0"/>
      <border diagonalUp="0" diagonalDown="0">
        <left style="thin">
          <color rgb="FF7F7F7F"/>
        </left>
        <right/>
        <top style="thin">
          <color rgb="FF7F7F7F"/>
        </top>
        <bottom style="thin">
          <color rgb="FF7F7F7F"/>
        </bottom>
        <vertical/>
        <horizontal/>
      </border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numFmt numFmtId="19" formatCode="d/mm/yyyy"/>
    </dxf>
    <dxf>
      <border outline="0">
        <right style="thin">
          <color rgb="FF7F7F7F"/>
        </right>
      </border>
    </dxf>
    <dxf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009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3</xdr:row>
          <xdr:rowOff>152400</xdr:rowOff>
        </xdr:from>
        <xdr:to>
          <xdr:col>13</xdr:col>
          <xdr:colOff>381000</xdr:colOff>
          <xdr:row>9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15</xdr:row>
          <xdr:rowOff>76200</xdr:rowOff>
        </xdr:from>
        <xdr:to>
          <xdr:col>2</xdr:col>
          <xdr:colOff>2047875</xdr:colOff>
          <xdr:row>17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38100</xdr:rowOff>
        </xdr:from>
        <xdr:to>
          <xdr:col>3</xdr:col>
          <xdr:colOff>219075</xdr:colOff>
          <xdr:row>5</xdr:row>
          <xdr:rowOff>209550</xdr:rowOff>
        </xdr:to>
        <xdr:sp macro="" textlink="">
          <xdr:nvSpPr>
            <xdr:cNvPr id="12314" name="Button 26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2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38100</xdr:rowOff>
        </xdr:from>
        <xdr:to>
          <xdr:col>8</xdr:col>
          <xdr:colOff>219075</xdr:colOff>
          <xdr:row>4</xdr:row>
          <xdr:rowOff>209550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2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38100</xdr:rowOff>
        </xdr:from>
        <xdr:to>
          <xdr:col>8</xdr:col>
          <xdr:colOff>219075</xdr:colOff>
          <xdr:row>5</xdr:row>
          <xdr:rowOff>209550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2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6</xdr:row>
          <xdr:rowOff>38100</xdr:rowOff>
        </xdr:from>
        <xdr:to>
          <xdr:col>8</xdr:col>
          <xdr:colOff>219075</xdr:colOff>
          <xdr:row>6</xdr:row>
          <xdr:rowOff>209550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2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4</xdr:row>
          <xdr:rowOff>38100</xdr:rowOff>
        </xdr:from>
        <xdr:to>
          <xdr:col>13</xdr:col>
          <xdr:colOff>219075</xdr:colOff>
          <xdr:row>4</xdr:row>
          <xdr:rowOff>209550</xdr:rowOff>
        </xdr:to>
        <xdr:sp macro="" textlink="">
          <xdr:nvSpPr>
            <xdr:cNvPr id="12335" name="Button 47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2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38100</xdr:rowOff>
        </xdr:from>
        <xdr:to>
          <xdr:col>13</xdr:col>
          <xdr:colOff>219075</xdr:colOff>
          <xdr:row>5</xdr:row>
          <xdr:rowOff>209550</xdr:rowOff>
        </xdr:to>
        <xdr:sp macro="" textlink="">
          <xdr:nvSpPr>
            <xdr:cNvPr id="12336" name="Button 48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2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6</xdr:row>
          <xdr:rowOff>38100</xdr:rowOff>
        </xdr:from>
        <xdr:to>
          <xdr:col>13</xdr:col>
          <xdr:colOff>219075</xdr:colOff>
          <xdr:row>6</xdr:row>
          <xdr:rowOff>209550</xdr:rowOff>
        </xdr:to>
        <xdr:sp macro="" textlink="">
          <xdr:nvSpPr>
            <xdr:cNvPr id="12337" name="Button 49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2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38100</xdr:rowOff>
        </xdr:from>
        <xdr:to>
          <xdr:col>3</xdr:col>
          <xdr:colOff>219075</xdr:colOff>
          <xdr:row>4</xdr:row>
          <xdr:rowOff>209550</xdr:rowOff>
        </xdr:to>
        <xdr:sp macro="" textlink="">
          <xdr:nvSpPr>
            <xdr:cNvPr id="12338" name="Button 50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2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91122%20-%20testoutput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DATA"/>
      <sheetName val="LU"/>
    </sheetNames>
    <definedNames>
      <definedName name="FilterButton"/>
    </definedNames>
    <sheetDataSet>
      <sheetData sheetId="0" refreshError="1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A1B82F-DCCE-4B22-9427-E5700B96605F}" name="Table1" displayName="Table1" ref="A1:AD2" totalsRowShown="0" headerRowDxfId="32" dataDxfId="31" tableBorderDxfId="30" headerRowCellStyle="Calculation" dataCellStyle="Calculation">
  <autoFilter ref="A1:AD2" xr:uid="{80072DCC-7CB1-4CEF-A35B-90118B190B19}"/>
  <tableColumns count="30">
    <tableColumn id="1" xr3:uid="{07938D48-8D62-489B-A531-29A828932DD1}" name="Example Field 1" dataDxfId="29" dataCellStyle="Normal 2"/>
    <tableColumn id="2" xr3:uid="{8795200E-00FA-4A5E-98A6-B1F0762EE332}" name="Example Field 2" dataDxfId="28"/>
    <tableColumn id="3" xr3:uid="{A9B4E6EF-DA88-4580-BB25-00C48AB9E12F}" name="Example Field 3" dataDxfId="27"/>
    <tableColumn id="4" xr3:uid="{1C301F18-0306-4BF9-8A0F-55159C766EA9}" name="Example Field 4" dataDxfId="26"/>
    <tableColumn id="5" xr3:uid="{F4701D6A-4325-4CCC-A07C-1A75DFFE6CFA}" name="Example Field 5" dataDxfId="25"/>
    <tableColumn id="6" xr3:uid="{D9647EBD-1807-41F2-982A-CA5F59BF9514}" name="Example Field 6" dataDxfId="24"/>
    <tableColumn id="7" xr3:uid="{B3050312-F74F-4A2D-B51B-89FD9D2740CE}" name="Example Field 7" dataDxfId="23"/>
    <tableColumn id="8" xr3:uid="{899212D6-A87F-4BCC-9524-0EBE6DEA7FC2}" name="Example Field 8" dataDxfId="22"/>
    <tableColumn id="9" xr3:uid="{B119F5C5-357C-4483-9894-042D621C7529}" name="Example Field 9" dataDxfId="21"/>
    <tableColumn id="10" xr3:uid="{CE00146F-9C8A-47BD-96AB-562BF2775280}" name="Example Field 10" dataDxfId="20"/>
    <tableColumn id="11" xr3:uid="{C81E7D65-08D1-4E58-B5DC-E36730D275FC}" name="Example Field 11" dataDxfId="19"/>
    <tableColumn id="12" xr3:uid="{BB399DE3-E259-4E2E-BFD5-7C095613463B}" name="Example Field 12" dataDxfId="18"/>
    <tableColumn id="13" xr3:uid="{B892FB76-2C3E-4D58-95C7-D79A53DBC361}" name="Example Field 13" dataDxfId="17"/>
    <tableColumn id="14" xr3:uid="{F9B29C85-6AD7-42CC-8093-5A950661B671}" name="Example Field 14" dataDxfId="16"/>
    <tableColumn id="15" xr3:uid="{BCCA574A-0A41-45FA-BD38-BA2BA8744D66}" name="Example Field 15" dataDxfId="15"/>
    <tableColumn id="16" xr3:uid="{90C03AC2-0681-4EB8-96D6-E81DCB929B2C}" name="Field 15" dataDxfId="14"/>
    <tableColumn id="17" xr3:uid="{EDD88153-8F05-457D-94BE-92E126E1589F}" name="Formula 1" dataDxfId="13" dataCellStyle="Calculation">
      <calculatedColumnFormula>IF(Table1[[#This Row],[Example Field 3]]&gt;5,"Yes","No")</calculatedColumnFormula>
    </tableColumn>
    <tableColumn id="18" xr3:uid="{DD42F88A-5731-4B4D-8AB9-8EA7BE70D1D3}" name="Formula 2" dataDxfId="12" dataCellStyle="Calculation">
      <calculatedColumnFormula>IF(D2&gt;5,"Yes","No")</calculatedColumnFormula>
    </tableColumn>
    <tableColumn id="19" xr3:uid="{BDA429E8-5A26-4D6A-8A23-1468BF483CED}" name="Formula 3" dataDxfId="11" dataCellStyle="Calculation">
      <calculatedColumnFormula>IF(E2&gt;5,"Yes","No")</calculatedColumnFormula>
    </tableColumn>
    <tableColumn id="20" xr3:uid="{4C36E4B5-BB77-48F3-ABE3-090757424BCF}" name="Formula 4" dataDxfId="10" dataCellStyle="Calculation">
      <calculatedColumnFormula>IF(F2&gt;5,"Yes","No")</calculatedColumnFormula>
    </tableColumn>
    <tableColumn id="21" xr3:uid="{6FB2BE5E-92B5-4C7D-9AA0-3A62B25AF8E6}" name="Formula 5" dataDxfId="9" dataCellStyle="Calculation">
      <calculatedColumnFormula>IF(G2&gt;5,"Yes","No")</calculatedColumnFormula>
    </tableColumn>
    <tableColumn id="22" xr3:uid="{A4F18451-492E-46C4-AFAB-2142E56CA5C0}" name="Formula 6" dataDxfId="8" dataCellStyle="Calculation">
      <calculatedColumnFormula>IF(H2&gt;5,"Yes","No")</calculatedColumnFormula>
    </tableColumn>
    <tableColumn id="23" xr3:uid="{DC837A37-B68A-4504-9F04-6B2FFD2F6E6B}" name="Formula 7" dataDxfId="7" dataCellStyle="Calculation">
      <calculatedColumnFormula>IF(I2&gt;5,"Yes","No")</calculatedColumnFormula>
    </tableColumn>
    <tableColumn id="24" xr3:uid="{8CEF43D6-2168-401D-827F-AAAEAC9685E6}" name="Formula 8" dataDxfId="6" dataCellStyle="Calculation">
      <calculatedColumnFormula>IF(J2&gt;5,"Yes","No")</calculatedColumnFormula>
    </tableColumn>
    <tableColumn id="25" xr3:uid="{7437B40B-72DA-4EBB-BD5C-C0FAE061348B}" name="Formula 9" dataDxfId="5" dataCellStyle="Calculation">
      <calculatedColumnFormula>IF(K2&gt;5,"Yes","No")</calculatedColumnFormula>
    </tableColumn>
    <tableColumn id="26" xr3:uid="{AC7253C7-BD71-4CB2-A47B-E961512FF0C7}" name="Formula 10" dataDxfId="4" dataCellStyle="Calculation">
      <calculatedColumnFormula>IF(L2&gt;5,"Yes","No")</calculatedColumnFormula>
    </tableColumn>
    <tableColumn id="27" xr3:uid="{CD6D1F21-27C6-4DF3-B311-161D0059BA23}" name="Formula 11" dataDxfId="3" dataCellStyle="Calculation">
      <calculatedColumnFormula>IF(M2&gt;5,"Yes","No")</calculatedColumnFormula>
    </tableColumn>
    <tableColumn id="28" xr3:uid="{0DC46C0C-49FB-4531-8E3E-E1F233D8022E}" name="Formula 12" dataDxfId="2" dataCellStyle="Calculation">
      <calculatedColumnFormula>IF(N2&gt;5,"Yes","No")</calculatedColumnFormula>
    </tableColumn>
    <tableColumn id="29" xr3:uid="{B128B48F-C692-4C5A-83A8-ADE3DA1CB78D}" name="Formula 13" dataDxfId="1" dataCellStyle="Calculation">
      <calculatedColumnFormula>IF(O2&gt;5,"Yes","No")</calculatedColumnFormula>
    </tableColumn>
    <tableColumn id="30" xr3:uid="{67E994C5-6214-40E8-A5DB-A7C8F1BFAC60}" name="Formula 14" dataDxfId="0" dataCellStyle="Calculation">
      <calculatedColumnFormula>IF(P2&gt;5,"Yes","No")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oerg.wood@gmail.com" TargetMode="External"/><Relationship Id="rId1" Type="http://schemas.openxmlformats.org/officeDocument/2006/relationships/hyperlink" Target="file:///\\aucnsprd\Reports\Cognos%20Direct\Confidential%20-%20Claims%20-%20Home%20CAT-en-au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8A91A-0ABA-49A8-AEB2-53E03FE73D21}">
  <sheetPr codeName="Sheet1">
    <tabColor theme="1"/>
  </sheetPr>
  <dimension ref="A1:CE25"/>
  <sheetViews>
    <sheetView tabSelected="1" zoomScale="85" zoomScaleNormal="85" workbookViewId="0">
      <selection activeCell="C9" sqref="C9"/>
    </sheetView>
  </sheetViews>
  <sheetFormatPr defaultRowHeight="15" x14ac:dyDescent="0.25"/>
  <cols>
    <col min="1" max="1" width="10.7109375" style="2" customWidth="1"/>
    <col min="2" max="2" width="9.140625" style="2"/>
    <col min="3" max="3" width="68.28515625" style="1" customWidth="1"/>
    <col min="4" max="4" width="14.5703125" style="1" customWidth="1"/>
    <col min="5" max="6" width="15.42578125" style="1" customWidth="1"/>
    <col min="7" max="7" width="16.85546875" style="1" customWidth="1"/>
    <col min="8" max="8" width="16.42578125" style="1" customWidth="1"/>
    <col min="9" max="9" width="11.5703125" style="1" customWidth="1"/>
    <col min="10" max="10" width="11.85546875" style="1" customWidth="1"/>
    <col min="11" max="11" width="9.140625" style="1"/>
    <col min="12" max="12" width="10.140625" style="1" customWidth="1"/>
    <col min="13" max="13" width="13" style="1" customWidth="1"/>
    <col min="14" max="14" width="11.5703125" style="1" customWidth="1"/>
    <col min="15" max="16384" width="9.140625" style="1"/>
  </cols>
  <sheetData>
    <row r="1" spans="1:19" ht="126" customHeight="1" x14ac:dyDescent="0.25">
      <c r="A1" s="26" t="s">
        <v>0</v>
      </c>
      <c r="B1" s="26" t="s">
        <v>5</v>
      </c>
      <c r="C1" s="27" t="s">
        <v>21</v>
      </c>
      <c r="D1" s="27" t="s">
        <v>17</v>
      </c>
      <c r="E1" s="27" t="s">
        <v>4</v>
      </c>
      <c r="F1" s="75" t="s">
        <v>92</v>
      </c>
      <c r="G1" s="27" t="s">
        <v>16</v>
      </c>
      <c r="H1" s="27" t="s">
        <v>18</v>
      </c>
      <c r="I1" s="53" t="s">
        <v>53</v>
      </c>
      <c r="J1" s="77" t="s">
        <v>82</v>
      </c>
      <c r="K1" s="77"/>
      <c r="L1" s="77"/>
      <c r="M1" s="77"/>
      <c r="N1" s="77"/>
      <c r="O1" s="77"/>
      <c r="P1" s="77"/>
      <c r="Q1" s="77"/>
      <c r="R1" s="77"/>
      <c r="S1" s="77"/>
    </row>
    <row r="2" spans="1:19" x14ac:dyDescent="0.25">
      <c r="A2" s="24" t="s">
        <v>11</v>
      </c>
      <c r="B2" s="47" t="s">
        <v>1</v>
      </c>
      <c r="C2" s="55" t="s">
        <v>78</v>
      </c>
      <c r="D2" s="25" t="s">
        <v>37</v>
      </c>
      <c r="E2" s="25" t="s">
        <v>81</v>
      </c>
      <c r="F2" s="25"/>
      <c r="G2" s="25">
        <v>0</v>
      </c>
      <c r="H2" s="25">
        <v>0</v>
      </c>
      <c r="I2" s="74" t="s">
        <v>90</v>
      </c>
      <c r="J2" s="79" t="s">
        <v>91</v>
      </c>
      <c r="K2" s="79"/>
      <c r="L2" s="79"/>
      <c r="M2" s="79"/>
      <c r="N2" s="79"/>
      <c r="O2" s="79"/>
      <c r="P2" s="79"/>
      <c r="Q2" s="79"/>
      <c r="R2" s="79"/>
      <c r="S2" s="79"/>
    </row>
    <row r="3" spans="1:19" x14ac:dyDescent="0.25">
      <c r="A3" s="8" t="s">
        <v>11</v>
      </c>
      <c r="B3" s="8" t="s">
        <v>2</v>
      </c>
      <c r="C3" s="9"/>
      <c r="D3" s="25"/>
      <c r="E3" s="9"/>
      <c r="F3" s="9"/>
      <c r="G3" s="9">
        <v>0</v>
      </c>
      <c r="H3" s="9">
        <v>0</v>
      </c>
      <c r="J3" s="80"/>
      <c r="K3" s="80"/>
      <c r="L3" s="80"/>
      <c r="M3" s="80"/>
      <c r="N3" s="80"/>
      <c r="O3" s="80"/>
      <c r="P3" s="80"/>
      <c r="Q3" s="80"/>
      <c r="R3" s="80"/>
      <c r="S3" s="80"/>
    </row>
    <row r="4" spans="1:19" x14ac:dyDescent="0.25">
      <c r="A4" s="8" t="s">
        <v>11</v>
      </c>
      <c r="B4" s="8" t="s">
        <v>2</v>
      </c>
      <c r="C4" s="9"/>
      <c r="D4" s="25"/>
      <c r="E4" s="9"/>
      <c r="F4" s="9"/>
      <c r="G4" s="9">
        <v>0</v>
      </c>
      <c r="H4" s="9">
        <v>0</v>
      </c>
    </row>
    <row r="5" spans="1:19" x14ac:dyDescent="0.25">
      <c r="A5" s="8" t="s">
        <v>11</v>
      </c>
      <c r="B5" s="8" t="s">
        <v>2</v>
      </c>
      <c r="C5" s="9"/>
      <c r="D5" s="9"/>
      <c r="E5" s="9"/>
      <c r="F5" s="9"/>
      <c r="G5" s="9">
        <v>0</v>
      </c>
      <c r="H5" s="9">
        <v>0</v>
      </c>
    </row>
    <row r="6" spans="1:19" x14ac:dyDescent="0.25">
      <c r="A6" s="8" t="s">
        <v>11</v>
      </c>
      <c r="B6" s="8" t="s">
        <v>2</v>
      </c>
      <c r="C6" s="9"/>
      <c r="D6" s="9"/>
      <c r="E6" s="9"/>
      <c r="F6" s="9"/>
      <c r="G6" s="9">
        <v>0</v>
      </c>
      <c r="H6" s="9">
        <v>0</v>
      </c>
    </row>
    <row r="7" spans="1:19" x14ac:dyDescent="0.25">
      <c r="A7" s="8" t="s">
        <v>11</v>
      </c>
      <c r="B7" s="8" t="s">
        <v>2</v>
      </c>
      <c r="C7" s="9"/>
      <c r="D7" s="9"/>
      <c r="E7" s="9"/>
      <c r="F7" s="9"/>
      <c r="G7" s="9">
        <v>0</v>
      </c>
      <c r="H7" s="9">
        <v>0</v>
      </c>
    </row>
    <row r="8" spans="1:19" x14ac:dyDescent="0.25">
      <c r="A8" s="8" t="s">
        <v>11</v>
      </c>
      <c r="B8" s="8" t="s">
        <v>2</v>
      </c>
      <c r="C8" s="9"/>
      <c r="D8" s="9"/>
      <c r="E8" s="9"/>
      <c r="F8" s="9"/>
      <c r="G8" s="9">
        <v>0</v>
      </c>
      <c r="H8" s="9">
        <v>0</v>
      </c>
    </row>
    <row r="9" spans="1:19" x14ac:dyDescent="0.25">
      <c r="A9" s="8" t="s">
        <v>11</v>
      </c>
      <c r="B9" s="8" t="s">
        <v>2</v>
      </c>
      <c r="C9" s="9"/>
      <c r="D9" s="9"/>
      <c r="E9" s="9"/>
      <c r="F9" s="9"/>
      <c r="G9" s="9">
        <v>0</v>
      </c>
      <c r="H9" s="9">
        <v>0</v>
      </c>
    </row>
    <row r="10" spans="1:19" x14ac:dyDescent="0.25">
      <c r="A10" s="8" t="s">
        <v>11</v>
      </c>
      <c r="B10" s="8" t="s">
        <v>2</v>
      </c>
      <c r="C10" s="9"/>
      <c r="D10" s="9"/>
      <c r="E10" s="9"/>
      <c r="F10" s="9"/>
      <c r="G10" s="9">
        <v>0</v>
      </c>
      <c r="H10" s="9">
        <v>0</v>
      </c>
    </row>
    <row r="11" spans="1:19" x14ac:dyDescent="0.25">
      <c r="A11" s="8" t="s">
        <v>11</v>
      </c>
      <c r="B11" s="8" t="s">
        <v>2</v>
      </c>
      <c r="C11" s="9"/>
      <c r="D11" s="9"/>
      <c r="E11" s="9"/>
      <c r="F11" s="9"/>
      <c r="G11" s="9">
        <v>0</v>
      </c>
      <c r="H11" s="9">
        <v>0</v>
      </c>
    </row>
    <row r="12" spans="1:19" x14ac:dyDescent="0.25">
      <c r="A12" s="8" t="s">
        <v>11</v>
      </c>
      <c r="B12" s="8" t="s">
        <v>2</v>
      </c>
      <c r="C12" s="9"/>
      <c r="D12" s="9"/>
      <c r="E12" s="9"/>
      <c r="F12" s="9"/>
      <c r="G12" s="9">
        <v>0</v>
      </c>
      <c r="H12" s="9">
        <v>0</v>
      </c>
    </row>
    <row r="13" spans="1:19" x14ac:dyDescent="0.25">
      <c r="A13" s="8" t="s">
        <v>11</v>
      </c>
      <c r="B13" s="8" t="s">
        <v>2</v>
      </c>
      <c r="C13" s="9"/>
      <c r="D13" s="9"/>
      <c r="E13" s="9"/>
      <c r="F13" s="9"/>
      <c r="G13" s="9">
        <v>0</v>
      </c>
      <c r="H13" s="9">
        <v>0</v>
      </c>
    </row>
    <row r="14" spans="1:19" x14ac:dyDescent="0.25">
      <c r="A14" s="8" t="s">
        <v>11</v>
      </c>
      <c r="B14" s="8" t="s">
        <v>2</v>
      </c>
      <c r="C14" s="9"/>
      <c r="D14" s="9"/>
      <c r="E14" s="9"/>
      <c r="F14" s="9"/>
      <c r="G14" s="9">
        <v>0</v>
      </c>
      <c r="H14" s="9">
        <v>0</v>
      </c>
    </row>
    <row r="15" spans="1:19" x14ac:dyDescent="0.25">
      <c r="A15" s="8" t="s">
        <v>11</v>
      </c>
      <c r="B15" s="8" t="s">
        <v>2</v>
      </c>
      <c r="C15" s="9"/>
      <c r="D15" s="9"/>
      <c r="E15" s="9"/>
      <c r="F15" s="9"/>
      <c r="G15" s="9">
        <v>0</v>
      </c>
      <c r="H15" s="9">
        <v>0</v>
      </c>
    </row>
    <row r="16" spans="1:19" ht="8.25" customHeight="1" x14ac:dyDescent="0.25"/>
    <row r="17" spans="1:83" x14ac:dyDescent="0.25">
      <c r="A17" s="10" t="s">
        <v>39</v>
      </c>
      <c r="B17" s="11"/>
      <c r="C17" s="12"/>
    </row>
    <row r="18" spans="1:83" x14ac:dyDescent="0.25">
      <c r="A18" s="5"/>
    </row>
    <row r="19" spans="1:83" ht="15" customHeight="1" x14ac:dyDescent="0.25">
      <c r="C19" s="49" t="s">
        <v>38</v>
      </c>
      <c r="D19" s="78" t="s">
        <v>8</v>
      </c>
      <c r="E19" s="78"/>
      <c r="F19" s="78"/>
      <c r="G19" s="78"/>
      <c r="H19" s="78"/>
      <c r="I19" s="78" t="s">
        <v>9</v>
      </c>
      <c r="J19" s="78"/>
      <c r="K19" s="78"/>
      <c r="L19" s="78"/>
      <c r="M19" s="78"/>
      <c r="N19" s="78" t="s">
        <v>9</v>
      </c>
      <c r="O19" s="78"/>
      <c r="P19" s="78"/>
      <c r="Q19" s="78"/>
      <c r="R19" s="78"/>
      <c r="S19" s="78" t="s">
        <v>10</v>
      </c>
      <c r="T19" s="78"/>
      <c r="U19" s="78"/>
      <c r="V19" s="78"/>
      <c r="W19" s="78"/>
      <c r="X19" s="78" t="s">
        <v>40</v>
      </c>
      <c r="Y19" s="78"/>
      <c r="Z19" s="78"/>
      <c r="AA19" s="78"/>
      <c r="AB19" s="78"/>
      <c r="AC19" s="78" t="s">
        <v>41</v>
      </c>
      <c r="AD19" s="78"/>
      <c r="AE19" s="78"/>
      <c r="AF19" s="78"/>
      <c r="AG19" s="78"/>
      <c r="AH19" s="78" t="s">
        <v>42</v>
      </c>
      <c r="AI19" s="78"/>
      <c r="AJ19" s="78"/>
      <c r="AK19" s="78"/>
      <c r="AL19" s="78"/>
      <c r="AM19" s="78" t="s">
        <v>43</v>
      </c>
      <c r="AN19" s="78"/>
      <c r="AO19" s="78"/>
      <c r="AP19" s="78"/>
      <c r="AQ19" s="78"/>
      <c r="AR19" s="78" t="s">
        <v>44</v>
      </c>
      <c r="AS19" s="78"/>
      <c r="AT19" s="78"/>
      <c r="AU19" s="78"/>
      <c r="AV19" s="78"/>
      <c r="AW19" s="78" t="s">
        <v>45</v>
      </c>
      <c r="AX19" s="78"/>
      <c r="AY19" s="78"/>
      <c r="AZ19" s="78"/>
      <c r="BA19" s="78"/>
      <c r="BB19" s="78" t="s">
        <v>46</v>
      </c>
      <c r="BC19" s="78"/>
      <c r="BD19" s="78"/>
      <c r="BE19" s="78"/>
      <c r="BF19" s="78"/>
      <c r="BG19" s="78" t="s">
        <v>47</v>
      </c>
      <c r="BH19" s="78"/>
      <c r="BI19" s="78"/>
      <c r="BJ19" s="78"/>
      <c r="BK19" s="78"/>
      <c r="BL19" s="78" t="s">
        <v>48</v>
      </c>
      <c r="BM19" s="78"/>
      <c r="BN19" s="78"/>
      <c r="BO19" s="78"/>
      <c r="BP19" s="78"/>
      <c r="BQ19" s="78" t="s">
        <v>49</v>
      </c>
      <c r="BR19" s="78"/>
      <c r="BS19" s="78"/>
      <c r="BT19" s="78"/>
      <c r="BU19" s="78"/>
      <c r="BV19" s="78" t="s">
        <v>50</v>
      </c>
      <c r="BW19" s="78"/>
      <c r="BX19" s="78"/>
      <c r="BY19" s="78"/>
      <c r="BZ19" s="78"/>
      <c r="CA19" s="78" t="s">
        <v>51</v>
      </c>
      <c r="CB19" s="78"/>
      <c r="CC19" s="78"/>
      <c r="CD19" s="78"/>
      <c r="CE19" s="78"/>
    </row>
    <row r="20" spans="1:83" s="4" customFormat="1" ht="45.75" customHeight="1" x14ac:dyDescent="0.25">
      <c r="A20" s="6" t="s">
        <v>3</v>
      </c>
      <c r="B20" s="6" t="s">
        <v>5</v>
      </c>
      <c r="C20" s="7" t="s">
        <v>22</v>
      </c>
      <c r="D20" s="13" t="s">
        <v>7</v>
      </c>
      <c r="E20" s="14" t="s">
        <v>6</v>
      </c>
      <c r="F20" s="14" t="s">
        <v>34</v>
      </c>
      <c r="G20" s="14" t="s">
        <v>20</v>
      </c>
      <c r="H20" s="15" t="s">
        <v>13</v>
      </c>
      <c r="I20" s="13" t="s">
        <v>7</v>
      </c>
      <c r="J20" s="14" t="s">
        <v>6</v>
      </c>
      <c r="K20" s="14" t="s">
        <v>34</v>
      </c>
      <c r="L20" s="14" t="s">
        <v>19</v>
      </c>
      <c r="M20" s="15" t="s">
        <v>13</v>
      </c>
      <c r="N20" s="13" t="s">
        <v>7</v>
      </c>
      <c r="O20" s="14" t="s">
        <v>6</v>
      </c>
      <c r="P20" s="14" t="s">
        <v>34</v>
      </c>
      <c r="Q20" s="14" t="s">
        <v>19</v>
      </c>
      <c r="R20" s="15" t="s">
        <v>13</v>
      </c>
      <c r="S20" s="13" t="s">
        <v>7</v>
      </c>
      <c r="T20" s="14" t="s">
        <v>6</v>
      </c>
      <c r="U20" s="14" t="s">
        <v>34</v>
      </c>
      <c r="V20" s="14" t="s">
        <v>19</v>
      </c>
      <c r="W20" s="15" t="s">
        <v>13</v>
      </c>
      <c r="X20" s="13" t="s">
        <v>7</v>
      </c>
      <c r="Y20" s="14" t="s">
        <v>6</v>
      </c>
      <c r="Z20" s="14" t="s">
        <v>34</v>
      </c>
      <c r="AA20" s="14" t="s">
        <v>19</v>
      </c>
      <c r="AB20" s="15" t="s">
        <v>13</v>
      </c>
      <c r="AC20" s="13" t="s">
        <v>7</v>
      </c>
      <c r="AD20" s="14" t="s">
        <v>6</v>
      </c>
      <c r="AE20" s="14" t="s">
        <v>34</v>
      </c>
      <c r="AF20" s="14" t="s">
        <v>19</v>
      </c>
      <c r="AG20" s="15" t="s">
        <v>13</v>
      </c>
      <c r="AH20" s="13" t="s">
        <v>7</v>
      </c>
      <c r="AI20" s="14" t="s">
        <v>6</v>
      </c>
      <c r="AJ20" s="14" t="s">
        <v>34</v>
      </c>
      <c r="AK20" s="14" t="s">
        <v>19</v>
      </c>
      <c r="AL20" s="15" t="s">
        <v>13</v>
      </c>
      <c r="AM20" s="13" t="s">
        <v>7</v>
      </c>
      <c r="AN20" s="14" t="s">
        <v>6</v>
      </c>
      <c r="AO20" s="14" t="s">
        <v>34</v>
      </c>
      <c r="AP20" s="14" t="s">
        <v>19</v>
      </c>
      <c r="AQ20" s="15" t="s">
        <v>13</v>
      </c>
      <c r="AR20" s="13" t="s">
        <v>7</v>
      </c>
      <c r="AS20" s="14" t="s">
        <v>6</v>
      </c>
      <c r="AT20" s="14" t="s">
        <v>34</v>
      </c>
      <c r="AU20" s="14" t="s">
        <v>19</v>
      </c>
      <c r="AV20" s="15" t="s">
        <v>13</v>
      </c>
      <c r="AW20" s="13" t="s">
        <v>7</v>
      </c>
      <c r="AX20" s="14" t="s">
        <v>6</v>
      </c>
      <c r="AY20" s="14" t="s">
        <v>34</v>
      </c>
      <c r="AZ20" s="14" t="s">
        <v>19</v>
      </c>
      <c r="BA20" s="15" t="s">
        <v>13</v>
      </c>
      <c r="BB20" s="13" t="s">
        <v>7</v>
      </c>
      <c r="BC20" s="14" t="s">
        <v>6</v>
      </c>
      <c r="BD20" s="14" t="s">
        <v>34</v>
      </c>
      <c r="BE20" s="14" t="s">
        <v>19</v>
      </c>
      <c r="BF20" s="15" t="s">
        <v>13</v>
      </c>
      <c r="BG20" s="13" t="s">
        <v>7</v>
      </c>
      <c r="BH20" s="14" t="s">
        <v>6</v>
      </c>
      <c r="BI20" s="14" t="s">
        <v>34</v>
      </c>
      <c r="BJ20" s="14" t="s">
        <v>19</v>
      </c>
      <c r="BK20" s="15" t="s">
        <v>13</v>
      </c>
      <c r="BL20" s="13" t="s">
        <v>7</v>
      </c>
      <c r="BM20" s="14" t="s">
        <v>6</v>
      </c>
      <c r="BN20" s="14" t="s">
        <v>34</v>
      </c>
      <c r="BO20" s="14" t="s">
        <v>19</v>
      </c>
      <c r="BP20" s="15" t="s">
        <v>13</v>
      </c>
      <c r="BQ20" s="13" t="s">
        <v>7</v>
      </c>
      <c r="BR20" s="14" t="s">
        <v>6</v>
      </c>
      <c r="BS20" s="14" t="s">
        <v>34</v>
      </c>
      <c r="BT20" s="14" t="s">
        <v>19</v>
      </c>
      <c r="BU20" s="15" t="s">
        <v>13</v>
      </c>
      <c r="BV20" s="13" t="s">
        <v>7</v>
      </c>
      <c r="BW20" s="14" t="s">
        <v>6</v>
      </c>
      <c r="BX20" s="14" t="s">
        <v>34</v>
      </c>
      <c r="BY20" s="14" t="s">
        <v>19</v>
      </c>
      <c r="BZ20" s="15" t="s">
        <v>13</v>
      </c>
      <c r="CA20" s="13" t="s">
        <v>7</v>
      </c>
      <c r="CB20" s="14" t="s">
        <v>6</v>
      </c>
      <c r="CC20" s="14" t="s">
        <v>34</v>
      </c>
      <c r="CD20" s="14" t="s">
        <v>19</v>
      </c>
      <c r="CE20" s="15" t="s">
        <v>13</v>
      </c>
    </row>
    <row r="21" spans="1:83" x14ac:dyDescent="0.25">
      <c r="A21" s="8" t="s">
        <v>12</v>
      </c>
      <c r="B21" s="48" t="s">
        <v>1</v>
      </c>
      <c r="C21" s="9" t="s">
        <v>79</v>
      </c>
      <c r="D21" s="16" t="s">
        <v>80</v>
      </c>
      <c r="E21" s="17" t="s">
        <v>1</v>
      </c>
      <c r="F21" s="17" t="s">
        <v>35</v>
      </c>
      <c r="G21" s="17"/>
      <c r="H21" s="18"/>
      <c r="I21" s="16" t="s">
        <v>81</v>
      </c>
      <c r="J21" s="17" t="s">
        <v>1</v>
      </c>
      <c r="K21" s="17" t="s">
        <v>35</v>
      </c>
      <c r="L21" s="17"/>
      <c r="M21" s="18"/>
      <c r="N21" s="16" t="s">
        <v>52</v>
      </c>
      <c r="O21" s="17" t="s">
        <v>2</v>
      </c>
      <c r="P21" s="17" t="s">
        <v>2</v>
      </c>
      <c r="Q21" s="17"/>
      <c r="R21" s="18"/>
      <c r="S21" s="16"/>
      <c r="T21" s="17"/>
      <c r="U21" s="17"/>
      <c r="V21" s="17"/>
      <c r="W21" s="18"/>
      <c r="X21" s="16"/>
      <c r="Y21" s="17"/>
      <c r="Z21" s="17"/>
      <c r="AA21" s="17"/>
      <c r="AB21" s="18"/>
      <c r="AC21" s="16"/>
      <c r="AD21" s="17"/>
      <c r="AE21" s="17"/>
      <c r="AF21" s="17"/>
      <c r="AG21" s="18"/>
      <c r="AH21" s="16"/>
      <c r="AI21" s="17"/>
      <c r="AJ21" s="17"/>
      <c r="AK21" s="17"/>
      <c r="AL21" s="18"/>
      <c r="AM21" s="16"/>
      <c r="AN21" s="17"/>
      <c r="AO21" s="17"/>
      <c r="AP21" s="17"/>
      <c r="AQ21" s="18"/>
      <c r="AR21" s="16"/>
      <c r="AS21" s="17"/>
      <c r="AT21" s="17"/>
      <c r="AU21" s="17"/>
      <c r="AV21" s="18"/>
      <c r="AW21" s="16"/>
      <c r="AX21" s="17"/>
      <c r="AY21" s="17"/>
      <c r="AZ21" s="17"/>
      <c r="BA21" s="18"/>
      <c r="BB21" s="16"/>
      <c r="BC21" s="17"/>
      <c r="BD21" s="17"/>
      <c r="BE21" s="17"/>
      <c r="BF21" s="18"/>
      <c r="BG21" s="16"/>
      <c r="BH21" s="17"/>
      <c r="BI21" s="17"/>
      <c r="BJ21" s="17"/>
      <c r="BK21" s="18"/>
      <c r="BL21" s="16"/>
      <c r="BM21" s="17"/>
      <c r="BN21" s="17"/>
      <c r="BO21" s="17"/>
      <c r="BP21" s="18"/>
      <c r="BQ21" s="16"/>
      <c r="BR21" s="17"/>
      <c r="BS21" s="17"/>
      <c r="BT21" s="17"/>
      <c r="BU21" s="18"/>
      <c r="BV21" s="16"/>
      <c r="BW21" s="17"/>
      <c r="BX21" s="17"/>
      <c r="BY21" s="17"/>
      <c r="BZ21" s="18"/>
      <c r="CA21" s="16"/>
      <c r="CB21" s="17"/>
      <c r="CC21" s="17"/>
      <c r="CD21" s="17"/>
      <c r="CE21" s="18"/>
    </row>
    <row r="22" spans="1:83" x14ac:dyDescent="0.25">
      <c r="A22" s="8" t="s">
        <v>12</v>
      </c>
      <c r="B22" s="8" t="s">
        <v>2</v>
      </c>
      <c r="C22" s="9"/>
      <c r="D22" s="16"/>
      <c r="E22" s="17"/>
      <c r="F22" s="17"/>
      <c r="G22" s="17"/>
      <c r="H22" s="18"/>
      <c r="I22" s="16"/>
      <c r="J22" s="17"/>
      <c r="K22" s="17"/>
      <c r="L22" s="17"/>
      <c r="M22" s="18"/>
      <c r="N22" s="16"/>
      <c r="O22" s="17"/>
      <c r="P22" s="17"/>
      <c r="Q22" s="17"/>
      <c r="R22" s="18"/>
      <c r="S22" s="16"/>
      <c r="T22" s="17"/>
      <c r="U22" s="17"/>
      <c r="V22" s="17"/>
      <c r="W22" s="18"/>
      <c r="X22" s="16"/>
      <c r="Y22" s="17"/>
      <c r="Z22" s="17"/>
      <c r="AA22" s="17"/>
      <c r="AB22" s="18"/>
      <c r="AC22" s="16"/>
      <c r="AD22" s="17"/>
      <c r="AE22" s="17"/>
      <c r="AF22" s="17"/>
      <c r="AG22" s="18"/>
      <c r="AH22" s="16"/>
      <c r="AI22" s="17"/>
      <c r="AJ22" s="17"/>
      <c r="AK22" s="17"/>
      <c r="AL22" s="18"/>
      <c r="AM22" s="16"/>
      <c r="AN22" s="17"/>
      <c r="AO22" s="17"/>
      <c r="AP22" s="17"/>
      <c r="AQ22" s="18"/>
      <c r="AR22" s="16"/>
      <c r="AS22" s="17"/>
      <c r="AT22" s="17"/>
      <c r="AU22" s="17"/>
      <c r="AV22" s="18"/>
      <c r="AW22" s="16"/>
      <c r="AX22" s="17"/>
      <c r="AY22" s="17"/>
      <c r="AZ22" s="17"/>
      <c r="BA22" s="18"/>
      <c r="BB22" s="16"/>
      <c r="BC22" s="17"/>
      <c r="BD22" s="17"/>
      <c r="BE22" s="17"/>
      <c r="BF22" s="18"/>
      <c r="BG22" s="16"/>
      <c r="BH22" s="17"/>
      <c r="BI22" s="17"/>
      <c r="BJ22" s="17"/>
      <c r="BK22" s="18"/>
      <c r="BL22" s="16"/>
      <c r="BM22" s="17"/>
      <c r="BN22" s="17"/>
      <c r="BO22" s="17"/>
      <c r="BP22" s="18"/>
      <c r="BQ22" s="16"/>
      <c r="BR22" s="17"/>
      <c r="BS22" s="17"/>
      <c r="BT22" s="17"/>
      <c r="BU22" s="18"/>
      <c r="BV22" s="16"/>
      <c r="BW22" s="17"/>
      <c r="BX22" s="17"/>
      <c r="BY22" s="17"/>
      <c r="BZ22" s="18"/>
      <c r="CA22" s="16"/>
      <c r="CB22" s="17"/>
      <c r="CC22" s="17"/>
      <c r="CD22" s="17"/>
      <c r="CE22" s="18"/>
    </row>
    <row r="23" spans="1:83" x14ac:dyDescent="0.25">
      <c r="A23" s="8" t="s">
        <v>12</v>
      </c>
      <c r="B23" s="8" t="s">
        <v>2</v>
      </c>
      <c r="C23" s="9"/>
      <c r="D23" s="16"/>
      <c r="E23" s="17"/>
      <c r="F23" s="17"/>
      <c r="G23" s="17"/>
      <c r="H23" s="18"/>
      <c r="I23" s="16"/>
      <c r="J23" s="17"/>
      <c r="K23" s="17"/>
      <c r="L23" s="17"/>
      <c r="M23" s="18"/>
      <c r="N23" s="16"/>
      <c r="O23" s="17"/>
      <c r="P23" s="17"/>
      <c r="Q23" s="17"/>
      <c r="R23" s="18"/>
      <c r="S23" s="16"/>
      <c r="T23" s="17"/>
      <c r="U23" s="17"/>
      <c r="V23" s="17"/>
      <c r="W23" s="18"/>
      <c r="X23" s="16"/>
      <c r="Y23" s="17"/>
      <c r="Z23" s="17"/>
      <c r="AA23" s="17"/>
      <c r="AB23" s="18"/>
      <c r="AC23" s="16"/>
      <c r="AD23" s="17"/>
      <c r="AE23" s="17"/>
      <c r="AF23" s="17"/>
      <c r="AG23" s="18"/>
      <c r="AH23" s="16"/>
      <c r="AI23" s="17"/>
      <c r="AJ23" s="17"/>
      <c r="AK23" s="17"/>
      <c r="AL23" s="18"/>
      <c r="AM23" s="16"/>
      <c r="AN23" s="17"/>
      <c r="AO23" s="17"/>
      <c r="AP23" s="17"/>
      <c r="AQ23" s="18"/>
      <c r="AR23" s="16"/>
      <c r="AS23" s="17"/>
      <c r="AT23" s="17"/>
      <c r="AU23" s="17"/>
      <c r="AV23" s="18"/>
      <c r="AW23" s="16"/>
      <c r="AX23" s="17"/>
      <c r="AY23" s="17"/>
      <c r="AZ23" s="17"/>
      <c r="BA23" s="18"/>
      <c r="BB23" s="16"/>
      <c r="BC23" s="17"/>
      <c r="BD23" s="17"/>
      <c r="BE23" s="17"/>
      <c r="BF23" s="18"/>
      <c r="BG23" s="16"/>
      <c r="BH23" s="17"/>
      <c r="BI23" s="17"/>
      <c r="BJ23" s="17"/>
      <c r="BK23" s="18"/>
      <c r="BL23" s="16"/>
      <c r="BM23" s="17"/>
      <c r="BN23" s="17"/>
      <c r="BO23" s="17"/>
      <c r="BP23" s="18"/>
      <c r="BQ23" s="16"/>
      <c r="BR23" s="17"/>
      <c r="BS23" s="17"/>
      <c r="BT23" s="17"/>
      <c r="BU23" s="18"/>
      <c r="BV23" s="16"/>
      <c r="BW23" s="17"/>
      <c r="BX23" s="17"/>
      <c r="BY23" s="17"/>
      <c r="BZ23" s="18"/>
      <c r="CA23" s="16"/>
      <c r="CB23" s="17"/>
      <c r="CC23" s="17"/>
      <c r="CD23" s="17"/>
      <c r="CE23" s="18"/>
    </row>
    <row r="24" spans="1:83" x14ac:dyDescent="0.25">
      <c r="A24" s="8" t="s">
        <v>12</v>
      </c>
      <c r="B24" s="8" t="s">
        <v>2</v>
      </c>
      <c r="C24" s="9"/>
      <c r="D24" s="16"/>
      <c r="E24" s="17"/>
      <c r="F24" s="17"/>
      <c r="G24" s="17"/>
      <c r="H24" s="18"/>
      <c r="I24" s="16"/>
      <c r="J24" s="17"/>
      <c r="K24" s="17"/>
      <c r="L24" s="17"/>
      <c r="M24" s="18"/>
      <c r="N24" s="16"/>
      <c r="O24" s="17"/>
      <c r="P24" s="17"/>
      <c r="Q24" s="17"/>
      <c r="R24" s="18"/>
      <c r="S24" s="16"/>
      <c r="T24" s="17"/>
      <c r="U24" s="17"/>
      <c r="V24" s="17"/>
      <c r="W24" s="18"/>
      <c r="X24" s="16"/>
      <c r="Y24" s="17"/>
      <c r="Z24" s="17"/>
      <c r="AA24" s="17"/>
      <c r="AB24" s="18"/>
      <c r="AC24" s="16"/>
      <c r="AD24" s="17"/>
      <c r="AE24" s="17"/>
      <c r="AF24" s="17"/>
      <c r="AG24" s="18"/>
      <c r="AH24" s="16"/>
      <c r="AI24" s="17"/>
      <c r="AJ24" s="17"/>
      <c r="AK24" s="17"/>
      <c r="AL24" s="18"/>
      <c r="AM24" s="16"/>
      <c r="AN24" s="17"/>
      <c r="AO24" s="17"/>
      <c r="AP24" s="17"/>
      <c r="AQ24" s="18"/>
      <c r="AR24" s="16"/>
      <c r="AS24" s="17"/>
      <c r="AT24" s="17"/>
      <c r="AU24" s="17"/>
      <c r="AV24" s="18"/>
      <c r="AW24" s="16"/>
      <c r="AX24" s="17"/>
      <c r="AY24" s="17"/>
      <c r="AZ24" s="17"/>
      <c r="BA24" s="18"/>
      <c r="BB24" s="16"/>
      <c r="BC24" s="17"/>
      <c r="BD24" s="17"/>
      <c r="BE24" s="17"/>
      <c r="BF24" s="18"/>
      <c r="BG24" s="16"/>
      <c r="BH24" s="17"/>
      <c r="BI24" s="17"/>
      <c r="BJ24" s="17"/>
      <c r="BK24" s="18"/>
      <c r="BL24" s="16"/>
      <c r="BM24" s="17"/>
      <c r="BN24" s="17"/>
      <c r="BO24" s="17"/>
      <c r="BP24" s="18"/>
      <c r="BQ24" s="16"/>
      <c r="BR24" s="17"/>
      <c r="BS24" s="17"/>
      <c r="BT24" s="17"/>
      <c r="BU24" s="18"/>
      <c r="BV24" s="16"/>
      <c r="BW24" s="17"/>
      <c r="BX24" s="17"/>
      <c r="BY24" s="17"/>
      <c r="BZ24" s="18"/>
      <c r="CA24" s="16"/>
      <c r="CB24" s="17"/>
      <c r="CC24" s="17"/>
      <c r="CD24" s="17"/>
      <c r="CE24" s="18"/>
    </row>
    <row r="25" spans="1:83" x14ac:dyDescent="0.25">
      <c r="A25" s="8" t="s">
        <v>12</v>
      </c>
      <c r="B25" s="19" t="s">
        <v>2</v>
      </c>
      <c r="C25" s="20"/>
      <c r="D25" s="21"/>
      <c r="E25" s="22"/>
      <c r="F25" s="22"/>
      <c r="G25" s="22"/>
      <c r="H25" s="23"/>
      <c r="I25" s="21"/>
      <c r="J25" s="22"/>
      <c r="K25" s="22"/>
      <c r="L25" s="22"/>
      <c r="M25" s="23"/>
      <c r="N25" s="21"/>
      <c r="O25" s="22"/>
      <c r="P25" s="22"/>
      <c r="Q25" s="22"/>
      <c r="R25" s="23"/>
      <c r="S25" s="21"/>
      <c r="T25" s="22"/>
      <c r="U25" s="22"/>
      <c r="V25" s="22"/>
      <c r="W25" s="23"/>
      <c r="X25" s="21"/>
      <c r="Y25" s="22"/>
      <c r="Z25" s="22"/>
      <c r="AA25" s="22"/>
      <c r="AB25" s="23"/>
      <c r="AC25" s="21"/>
      <c r="AD25" s="22"/>
      <c r="AE25" s="22"/>
      <c r="AF25" s="22"/>
      <c r="AG25" s="23"/>
      <c r="AH25" s="21"/>
      <c r="AI25" s="22"/>
      <c r="AJ25" s="22"/>
      <c r="AK25" s="22"/>
      <c r="AL25" s="23"/>
      <c r="AM25" s="21"/>
      <c r="AN25" s="22"/>
      <c r="AO25" s="22"/>
      <c r="AP25" s="22"/>
      <c r="AQ25" s="23"/>
      <c r="AR25" s="21"/>
      <c r="AS25" s="22"/>
      <c r="AT25" s="22"/>
      <c r="AU25" s="22"/>
      <c r="AV25" s="23"/>
      <c r="AW25" s="21"/>
      <c r="AX25" s="22"/>
      <c r="AY25" s="22"/>
      <c r="AZ25" s="22"/>
      <c r="BA25" s="23"/>
      <c r="BB25" s="21"/>
      <c r="BC25" s="22"/>
      <c r="BD25" s="22"/>
      <c r="BE25" s="22"/>
      <c r="BF25" s="23"/>
      <c r="BG25" s="21"/>
      <c r="BH25" s="22"/>
      <c r="BI25" s="22"/>
      <c r="BJ25" s="22"/>
      <c r="BK25" s="23"/>
      <c r="BL25" s="21"/>
      <c r="BM25" s="22"/>
      <c r="BN25" s="22"/>
      <c r="BO25" s="22"/>
      <c r="BP25" s="23"/>
      <c r="BQ25" s="21"/>
      <c r="BR25" s="22"/>
      <c r="BS25" s="22"/>
      <c r="BT25" s="22"/>
      <c r="BU25" s="23"/>
      <c r="BV25" s="21"/>
      <c r="BW25" s="22"/>
      <c r="BX25" s="22"/>
      <c r="BY25" s="22"/>
      <c r="BZ25" s="23"/>
      <c r="CA25" s="21"/>
      <c r="CB25" s="22"/>
      <c r="CC25" s="22"/>
      <c r="CD25" s="22"/>
      <c r="CE25" s="23"/>
    </row>
  </sheetData>
  <mergeCells count="19">
    <mergeCell ref="D19:H19"/>
    <mergeCell ref="I19:M19"/>
    <mergeCell ref="CA19:CE19"/>
    <mergeCell ref="AM19:AQ19"/>
    <mergeCell ref="AR19:AV19"/>
    <mergeCell ref="AW19:BA19"/>
    <mergeCell ref="BB19:BF19"/>
    <mergeCell ref="BG19:BK19"/>
    <mergeCell ref="J1:S1"/>
    <mergeCell ref="BL19:BP19"/>
    <mergeCell ref="BQ19:BU19"/>
    <mergeCell ref="BV19:BZ19"/>
    <mergeCell ref="N19:R19"/>
    <mergeCell ref="S19:W19"/>
    <mergeCell ref="X19:AB19"/>
    <mergeCell ref="AC19:AG19"/>
    <mergeCell ref="AH19:AL19"/>
    <mergeCell ref="J2:S2"/>
    <mergeCell ref="J3:S3"/>
  </mergeCells>
  <hyperlinks>
    <hyperlink ref="C2" r:id="rId1" display="\\aucnsprd\Reports\Cognos Direct\Confidential - Claims - Home CAT-en-au.xlsx" xr:uid="{0DE62C7A-5D6C-4012-98F4-9F7381964F55}"/>
    <hyperlink ref="J1" r:id="rId2" xr:uid="{4CED25FB-94D3-444E-A4A7-8294E79787D3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6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581025</xdr:colOff>
                    <xdr:row>3</xdr:row>
                    <xdr:rowOff>152400</xdr:rowOff>
                  </from>
                  <to>
                    <xdr:col>13</xdr:col>
                    <xdr:colOff>381000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E618-96EC-4F6A-8389-3F02CAF98F2C}">
  <sheetPr codeName="Sheet2">
    <tabColor theme="9"/>
  </sheetPr>
  <dimension ref="B1:C18"/>
  <sheetViews>
    <sheetView workbookViewId="0">
      <selection activeCell="C6" sqref="C6"/>
    </sheetView>
  </sheetViews>
  <sheetFormatPr defaultRowHeight="15" x14ac:dyDescent="0.25"/>
  <cols>
    <col min="1" max="1" width="9.140625" style="1"/>
    <col min="2" max="2" width="8.28515625" style="1" customWidth="1"/>
    <col min="3" max="3" width="154.5703125" style="3" customWidth="1"/>
    <col min="4" max="16384" width="9.140625" style="1"/>
  </cols>
  <sheetData>
    <row r="1" spans="2:3" ht="15.75" thickBot="1" x14ac:dyDescent="0.3"/>
    <row r="2" spans="2:3" x14ac:dyDescent="0.25">
      <c r="B2" s="28" t="s">
        <v>14</v>
      </c>
      <c r="C2" s="29" t="s">
        <v>15</v>
      </c>
    </row>
    <row r="3" spans="2:3" x14ac:dyDescent="0.25">
      <c r="B3" s="30"/>
      <c r="C3" s="31"/>
    </row>
    <row r="4" spans="2:3" ht="30" customHeight="1" x14ac:dyDescent="0.25">
      <c r="B4" s="32">
        <v>1</v>
      </c>
      <c r="C4" s="33" t="s">
        <v>36</v>
      </c>
    </row>
    <row r="5" spans="2:3" ht="21" x14ac:dyDescent="0.25">
      <c r="B5" s="34"/>
      <c r="C5" s="31"/>
    </row>
    <row r="6" spans="2:3" ht="30" customHeight="1" x14ac:dyDescent="0.25">
      <c r="B6" s="32">
        <v>2</v>
      </c>
      <c r="C6" s="33"/>
    </row>
    <row r="7" spans="2:3" ht="21" x14ac:dyDescent="0.25">
      <c r="B7" s="34"/>
      <c r="C7" s="31"/>
    </row>
    <row r="8" spans="2:3" ht="30" customHeight="1" x14ac:dyDescent="0.25">
      <c r="B8" s="32">
        <v>3</v>
      </c>
      <c r="C8" s="33"/>
    </row>
    <row r="9" spans="2:3" ht="21" x14ac:dyDescent="0.25">
      <c r="B9" s="34"/>
      <c r="C9" s="31"/>
    </row>
    <row r="10" spans="2:3" ht="30" customHeight="1" x14ac:dyDescent="0.25">
      <c r="B10" s="32">
        <v>4</v>
      </c>
      <c r="C10" s="33"/>
    </row>
    <row r="11" spans="2:3" ht="21" x14ac:dyDescent="0.25">
      <c r="B11" s="34"/>
      <c r="C11" s="31"/>
    </row>
    <row r="12" spans="2:3" ht="30" customHeight="1" x14ac:dyDescent="0.25">
      <c r="B12" s="32">
        <v>5</v>
      </c>
      <c r="C12" s="33"/>
    </row>
    <row r="13" spans="2:3" ht="21" x14ac:dyDescent="0.25">
      <c r="B13" s="34"/>
      <c r="C13" s="31"/>
    </row>
    <row r="14" spans="2:3" ht="30" customHeight="1" x14ac:dyDescent="0.25">
      <c r="B14" s="32">
        <v>6</v>
      </c>
      <c r="C14" s="33"/>
    </row>
    <row r="15" spans="2:3" x14ac:dyDescent="0.25">
      <c r="B15" s="30"/>
      <c r="C15" s="31"/>
    </row>
    <row r="16" spans="2:3" x14ac:dyDescent="0.25">
      <c r="B16" s="30"/>
      <c r="C16" s="31"/>
    </row>
    <row r="17" spans="2:3" x14ac:dyDescent="0.25">
      <c r="B17" s="30"/>
      <c r="C17" s="31"/>
    </row>
    <row r="18" spans="2:3" ht="15.75" thickBot="1" x14ac:dyDescent="0.3">
      <c r="B18" s="35"/>
      <c r="C18" s="3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228600</xdr:colOff>
                    <xdr:row>15</xdr:row>
                    <xdr:rowOff>76200</xdr:rowOff>
                  </from>
                  <to>
                    <xdr:col>2</xdr:col>
                    <xdr:colOff>2047875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39768-1615-4170-9070-82B7CE8A0E35}">
  <sheetPr codeName="Sheet3">
    <tabColor rgb="FF009CDB"/>
  </sheetPr>
  <dimension ref="A1:R43"/>
  <sheetViews>
    <sheetView showGridLines="0" zoomScale="90" zoomScaleNormal="90" workbookViewId="0">
      <selection activeCell="E11" sqref="E11"/>
    </sheetView>
  </sheetViews>
  <sheetFormatPr defaultColWidth="0" defaultRowHeight="18.75" x14ac:dyDescent="0.3"/>
  <cols>
    <col min="1" max="1" width="3.5703125" style="37" customWidth="1"/>
    <col min="2" max="2" width="15.140625" style="37" customWidth="1"/>
    <col min="3" max="3" width="16.42578125" style="37" customWidth="1"/>
    <col min="4" max="4" width="15.140625" style="37" customWidth="1"/>
    <col min="5" max="5" width="16.42578125" style="37" customWidth="1"/>
    <col min="6" max="6" width="4.5703125" style="37" customWidth="1"/>
    <col min="7" max="7" width="18.140625" style="37" customWidth="1"/>
    <col min="8" max="8" width="14.140625" style="37" customWidth="1"/>
    <col min="9" max="9" width="16.42578125" style="37" customWidth="1"/>
    <col min="10" max="10" width="4.5703125" style="37" customWidth="1"/>
    <col min="11" max="11" width="15.140625" style="37" customWidth="1"/>
    <col min="12" max="12" width="16.42578125" style="37" customWidth="1"/>
    <col min="13" max="13" width="15.140625" style="37" customWidth="1"/>
    <col min="14" max="14" width="16.42578125" style="37" customWidth="1"/>
    <col min="15" max="15" width="1.7109375" style="37" customWidth="1"/>
    <col min="16" max="16" width="1.7109375" style="68" customWidth="1"/>
    <col min="17" max="17" width="27.140625" style="69" customWidth="1"/>
    <col min="18" max="18" width="1.7109375" style="66" customWidth="1"/>
    <col min="19" max="16384" width="8.7109375" style="66" hidden="1"/>
  </cols>
  <sheetData>
    <row r="1" spans="1:18" ht="48.75" customHeight="1" x14ac:dyDescent="0.3">
      <c r="A1" s="57"/>
      <c r="B1" s="58" t="str">
        <f ca="1">"Test - Dashboard: "&amp;TEXT(TODAY,"D-MMMM")</f>
        <v>Test - Dashboard: 22-November</v>
      </c>
      <c r="C1" s="59"/>
      <c r="D1" s="59"/>
      <c r="E1" s="59"/>
      <c r="F1" s="59"/>
      <c r="G1" s="60"/>
      <c r="H1" s="61"/>
      <c r="I1" s="62"/>
      <c r="J1" s="63"/>
      <c r="K1" s="61"/>
      <c r="L1" s="62"/>
      <c r="M1" s="57"/>
      <c r="N1" s="57"/>
      <c r="O1" s="64"/>
      <c r="P1" s="65"/>
      <c r="Q1" s="66"/>
      <c r="R1" s="64"/>
    </row>
    <row r="2" spans="1:18" ht="25.5" customHeight="1" x14ac:dyDescent="0.3">
      <c r="A2" s="57"/>
      <c r="B2" s="57"/>
      <c r="C2" s="57"/>
      <c r="D2" s="57"/>
      <c r="E2" s="61"/>
      <c r="F2" s="62"/>
      <c r="G2" s="60"/>
      <c r="H2" s="61"/>
      <c r="I2" s="62"/>
      <c r="J2" s="63"/>
      <c r="K2" s="61"/>
      <c r="L2" s="62"/>
      <c r="M2" s="57"/>
      <c r="N2" s="57"/>
      <c r="O2" s="64"/>
      <c r="P2" s="65"/>
      <c r="Q2" s="67" t="s">
        <v>54</v>
      </c>
      <c r="R2" s="64"/>
    </row>
    <row r="3" spans="1:18" ht="11.1" customHeight="1" thickBot="1" x14ac:dyDescent="0.35"/>
    <row r="4" spans="1:18" ht="18.75" customHeight="1" x14ac:dyDescent="0.3">
      <c r="B4" s="81" t="s">
        <v>83</v>
      </c>
      <c r="C4" s="82"/>
      <c r="D4" s="82"/>
      <c r="E4" s="83"/>
      <c r="G4" s="90" t="s">
        <v>84</v>
      </c>
      <c r="H4" s="91"/>
      <c r="I4" s="92"/>
      <c r="K4" s="81" t="s">
        <v>85</v>
      </c>
      <c r="L4" s="82"/>
      <c r="M4" s="82"/>
      <c r="N4" s="83"/>
    </row>
    <row r="5" spans="1:18" ht="18.75" customHeight="1" x14ac:dyDescent="0.3">
      <c r="B5" s="93" t="s">
        <v>87</v>
      </c>
      <c r="C5" s="94"/>
      <c r="D5" s="94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E5" s="97"/>
      <c r="G5" s="84" t="s">
        <v>87</v>
      </c>
      <c r="H5" s="85"/>
      <c r="I5" s="39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K5" s="84" t="s">
        <v>87</v>
      </c>
      <c r="L5" s="85"/>
      <c r="M5" s="85"/>
      <c r="N5" s="39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P5" s="70"/>
      <c r="Q5" s="71" t="s">
        <v>86</v>
      </c>
    </row>
    <row r="6" spans="1:18" ht="18.75" customHeight="1" thickBot="1" x14ac:dyDescent="0.35">
      <c r="B6" s="96" t="s">
        <v>88</v>
      </c>
      <c r="C6" s="95"/>
      <c r="D6" s="98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E6" s="99"/>
      <c r="G6" s="86" t="s">
        <v>88</v>
      </c>
      <c r="H6" s="87"/>
      <c r="I6" s="38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K6" s="86" t="s">
        <v>88</v>
      </c>
      <c r="L6" s="87"/>
      <c r="M6" s="87"/>
      <c r="N6" s="38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P6" s="70"/>
    </row>
    <row r="7" spans="1:18" ht="18.75" customHeight="1" thickBot="1" x14ac:dyDescent="0.35">
      <c r="G7" s="88" t="s">
        <v>89</v>
      </c>
      <c r="H7" s="89"/>
      <c r="I7" s="73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K7" s="88" t="s">
        <v>89</v>
      </c>
      <c r="L7" s="89"/>
      <c r="M7" s="89"/>
      <c r="N7" s="73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Q7" s="71" t="s">
        <v>86</v>
      </c>
    </row>
    <row r="8" spans="1:18" ht="18.75" customHeight="1" x14ac:dyDescent="0.3"/>
    <row r="9" spans="1:18" ht="18.75" customHeight="1" x14ac:dyDescent="0.3">
      <c r="Q9" s="71" t="s">
        <v>86</v>
      </c>
    </row>
    <row r="10" spans="1:18" ht="18.75" customHeight="1" x14ac:dyDescent="0.3"/>
    <row r="11" spans="1:18" ht="18.75" customHeight="1" x14ac:dyDescent="0.3">
      <c r="Q11" s="71" t="s">
        <v>86</v>
      </c>
    </row>
    <row r="12" spans="1:18" ht="18.75" customHeight="1" x14ac:dyDescent="0.3"/>
    <row r="13" spans="1:18" ht="18.75" customHeight="1" x14ac:dyDescent="0.3">
      <c r="Q13" s="71" t="s">
        <v>86</v>
      </c>
    </row>
    <row r="14" spans="1:18" ht="18.75" customHeight="1" x14ac:dyDescent="0.3"/>
    <row r="15" spans="1:18" ht="18.75" customHeight="1" x14ac:dyDescent="0.3">
      <c r="Q15" s="71" t="s">
        <v>86</v>
      </c>
    </row>
    <row r="16" spans="1:18" ht="18.75" customHeight="1" x14ac:dyDescent="0.3"/>
    <row r="17" spans="17:17" ht="18.75" customHeight="1" x14ac:dyDescent="0.3">
      <c r="Q17" s="71" t="s">
        <v>86</v>
      </c>
    </row>
    <row r="18" spans="17:17" ht="18.75" customHeight="1" x14ac:dyDescent="0.3"/>
    <row r="19" spans="17:17" ht="18.75" customHeight="1" x14ac:dyDescent="0.3"/>
    <row r="20" spans="17:17" ht="18.75" customHeight="1" x14ac:dyDescent="0.3"/>
    <row r="21" spans="17:17" ht="18.75" customHeight="1" x14ac:dyDescent="0.3"/>
    <row r="22" spans="17:17" ht="18.75" customHeight="1" x14ac:dyDescent="0.3"/>
    <row r="23" spans="17:17" ht="18.75" customHeight="1" x14ac:dyDescent="0.3"/>
    <row r="24" spans="17:17" ht="18.75" customHeight="1" x14ac:dyDescent="0.3"/>
    <row r="25" spans="17:17" ht="18.75" customHeight="1" x14ac:dyDescent="0.3"/>
    <row r="26" spans="17:17" ht="18.75" customHeight="1" x14ac:dyDescent="0.3"/>
    <row r="27" spans="17:17" ht="18.75" customHeight="1" x14ac:dyDescent="0.3"/>
    <row r="28" spans="17:17" ht="18.75" customHeight="1" x14ac:dyDescent="0.3"/>
    <row r="29" spans="17:17" ht="18.75" customHeight="1" x14ac:dyDescent="0.3"/>
    <row r="31" spans="17:17" ht="38.25" customHeight="1" x14ac:dyDescent="0.3"/>
    <row r="33" spans="4:4" ht="19.5" customHeight="1" x14ac:dyDescent="0.3"/>
    <row r="43" spans="4:4" x14ac:dyDescent="0.3">
      <c r="D43"/>
    </row>
  </sheetData>
  <dataConsolidate/>
  <mergeCells count="13">
    <mergeCell ref="B4:E4"/>
    <mergeCell ref="B5:C5"/>
    <mergeCell ref="D5:E5"/>
    <mergeCell ref="B6:C6"/>
    <mergeCell ref="D6:E6"/>
    <mergeCell ref="K4:N4"/>
    <mergeCell ref="K5:M5"/>
    <mergeCell ref="K6:M6"/>
    <mergeCell ref="K7:M7"/>
    <mergeCell ref="G4:I4"/>
    <mergeCell ref="G5:H5"/>
    <mergeCell ref="G6:H6"/>
    <mergeCell ref="G7:H7"/>
  </mergeCells>
  <dataValidations count="7">
    <dataValidation type="list" allowBlank="1" showInputMessage="1" showErrorMessage="1" sqref="Q5" xr:uid="{9698FD78-CC81-4544-9481-7D0CE244560F}">
      <formula1>Filter1</formula1>
    </dataValidation>
    <dataValidation type="list" allowBlank="1" showInputMessage="1" showErrorMessage="1" sqref="Q7" xr:uid="{34073236-C886-4D30-B9D1-4D469E666356}">
      <formula1>Filter2</formula1>
    </dataValidation>
    <dataValidation type="list" allowBlank="1" showInputMessage="1" showErrorMessage="1" sqref="Q9" xr:uid="{1A008593-1A6A-40F4-906D-19C6E1B14B6E}">
      <formula1>Filter3</formula1>
    </dataValidation>
    <dataValidation type="list" allowBlank="1" showInputMessage="1" showErrorMessage="1" sqref="Q11" xr:uid="{91B706E4-C639-4EF6-A242-2C79562090CB}">
      <formula1>Filter4</formula1>
    </dataValidation>
    <dataValidation type="list" allowBlank="1" showInputMessage="1" showErrorMessage="1" sqref="Q13" xr:uid="{0A2484CF-CF55-43A7-ADF2-5D0CE74E3D35}">
      <formula1>Filter5</formula1>
    </dataValidation>
    <dataValidation type="list" allowBlank="1" showInputMessage="1" showErrorMessage="1" sqref="Q15" xr:uid="{FFB45E1A-3308-4AC2-9126-91BAC281DC73}">
      <formula1>Filter6</formula1>
    </dataValidation>
    <dataValidation type="list" allowBlank="1" showInputMessage="1" showErrorMessage="1" sqref="Q17" xr:uid="{C3EFEDE4-AF32-45E1-B54F-8267D0FCBD2C}">
      <formula1>Filter7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4" r:id="rId4" name="Button 26">
              <controlPr defaultSize="0" print="0" autoFill="0" autoPict="0" macro="[0]!FilterButton">
                <anchor moveWithCells="1" sizeWithCells="1">
                  <from>
                    <xdr:col>3</xdr:col>
                    <xdr:colOff>9525</xdr:colOff>
                    <xdr:row>5</xdr:row>
                    <xdr:rowOff>38100</xdr:rowOff>
                  </from>
                  <to>
                    <xdr:col>3</xdr:col>
                    <xdr:colOff>219075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5" name="Button 44">
              <controlPr defaultSize="0" print="0" autoFill="0" autoPict="0" macro="[0]!FilterButton">
                <anchor moveWithCells="1" sizeWithCells="1">
                  <from>
                    <xdr:col>8</xdr:col>
                    <xdr:colOff>9525</xdr:colOff>
                    <xdr:row>4</xdr:row>
                    <xdr:rowOff>38100</xdr:rowOff>
                  </from>
                  <to>
                    <xdr:col>8</xdr:col>
                    <xdr:colOff>219075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6" name="Button 45">
              <controlPr defaultSize="0" print="0" autoFill="0" autoPict="0" macro="[0]!FilterButton">
                <anchor moveWithCells="1" sizeWithCells="1">
                  <from>
                    <xdr:col>8</xdr:col>
                    <xdr:colOff>9525</xdr:colOff>
                    <xdr:row>5</xdr:row>
                    <xdr:rowOff>38100</xdr:rowOff>
                  </from>
                  <to>
                    <xdr:col>8</xdr:col>
                    <xdr:colOff>219075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7" name="Button 46">
              <controlPr defaultSize="0" print="0" autoFill="0" autoPict="0" macro="[0]!FilterButton">
                <anchor moveWithCells="1" sizeWithCells="1">
                  <from>
                    <xdr:col>8</xdr:col>
                    <xdr:colOff>9525</xdr:colOff>
                    <xdr:row>6</xdr:row>
                    <xdr:rowOff>38100</xdr:rowOff>
                  </from>
                  <to>
                    <xdr:col>8</xdr:col>
                    <xdr:colOff>219075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8" name="Button 47">
              <controlPr defaultSize="0" print="0" autoFill="0" autoPict="0" macro="[0]!FilterButton">
                <anchor moveWithCells="1" sizeWithCells="1">
                  <from>
                    <xdr:col>13</xdr:col>
                    <xdr:colOff>9525</xdr:colOff>
                    <xdr:row>4</xdr:row>
                    <xdr:rowOff>38100</xdr:rowOff>
                  </from>
                  <to>
                    <xdr:col>13</xdr:col>
                    <xdr:colOff>219075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9" name="Button 48">
              <controlPr defaultSize="0" print="0" autoFill="0" autoPict="0" macro="[0]!FilterButton">
                <anchor moveWithCells="1" sizeWithCells="1">
                  <from>
                    <xdr:col>13</xdr:col>
                    <xdr:colOff>9525</xdr:colOff>
                    <xdr:row>5</xdr:row>
                    <xdr:rowOff>38100</xdr:rowOff>
                  </from>
                  <to>
                    <xdr:col>13</xdr:col>
                    <xdr:colOff>219075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10" name="Button 49">
              <controlPr defaultSize="0" print="0" autoFill="0" autoPict="0" macro="[0]!FilterButton">
                <anchor moveWithCells="1" sizeWithCells="1">
                  <from>
                    <xdr:col>13</xdr:col>
                    <xdr:colOff>9525</xdr:colOff>
                    <xdr:row>6</xdr:row>
                    <xdr:rowOff>38100</xdr:rowOff>
                  </from>
                  <to>
                    <xdr:col>13</xdr:col>
                    <xdr:colOff>219075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11" name="Button 50">
              <controlPr defaultSize="0" print="0" autoFill="0" autoPict="0" macro="[0]!FilterButton">
                <anchor moveWithCells="1" sizeWithCells="1">
                  <from>
                    <xdr:col>3</xdr:col>
                    <xdr:colOff>9525</xdr:colOff>
                    <xdr:row>4</xdr:row>
                    <xdr:rowOff>38100</xdr:rowOff>
                  </from>
                  <to>
                    <xdr:col>3</xdr:col>
                    <xdr:colOff>219075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5AB47-6D0E-47E6-A596-261A1A8A437A}">
  <sheetPr codeName="Sheet8">
    <tabColor rgb="FFFFFF00"/>
  </sheetPr>
  <dimension ref="A1:AD3"/>
  <sheetViews>
    <sheetView zoomScaleNormal="100" workbookViewId="0">
      <selection sqref="A1:AD2"/>
    </sheetView>
  </sheetViews>
  <sheetFormatPr defaultColWidth="8.7109375" defaultRowHeight="12.75" x14ac:dyDescent="0.2"/>
  <cols>
    <col min="1" max="1" width="20.7109375" style="40" customWidth="1"/>
    <col min="2" max="7" width="15.140625" style="40" customWidth="1"/>
    <col min="8" max="8" width="23.28515625" style="51" customWidth="1"/>
    <col min="9" max="9" width="15.140625" style="51" customWidth="1"/>
    <col min="10" max="10" width="16" style="51" customWidth="1"/>
    <col min="11" max="11" width="21.42578125" style="43" bestFit="1" customWidth="1"/>
    <col min="12" max="12" width="21.7109375" style="43" bestFit="1" customWidth="1"/>
    <col min="13" max="13" width="16" style="40" customWidth="1"/>
    <col min="14" max="14" width="17" style="51" customWidth="1"/>
    <col min="15" max="15" width="16" style="51" customWidth="1"/>
    <col min="16" max="16" width="27.5703125" style="51" bestFit="1" customWidth="1"/>
    <col min="17" max="17" width="11.85546875" style="51" customWidth="1"/>
    <col min="18" max="18" width="11.85546875" style="52" customWidth="1"/>
    <col min="19" max="19" width="11.85546875" style="40" customWidth="1"/>
    <col min="20" max="20" width="15.28515625" style="40" customWidth="1"/>
    <col min="21" max="23" width="11.85546875" style="40" customWidth="1"/>
    <col min="24" max="25" width="11.85546875" style="43" customWidth="1"/>
    <col min="26" max="29" width="12.85546875" style="40" customWidth="1"/>
    <col min="30" max="30" width="16.7109375" style="43" bestFit="1" customWidth="1"/>
    <col min="31" max="16384" width="8.7109375" style="40"/>
  </cols>
  <sheetData>
    <row r="1" spans="1:30" ht="15.75" thickBot="1" x14ac:dyDescent="0.25">
      <c r="A1" s="43" t="s">
        <v>93</v>
      </c>
      <c r="B1" s="41" t="s">
        <v>94</v>
      </c>
      <c r="C1" s="41" t="s">
        <v>95</v>
      </c>
      <c r="D1" s="41" t="s">
        <v>96</v>
      </c>
      <c r="E1" s="41" t="s">
        <v>97</v>
      </c>
      <c r="F1" s="41" t="s">
        <v>98</v>
      </c>
      <c r="G1" s="41" t="s">
        <v>99</v>
      </c>
      <c r="H1" s="41" t="s">
        <v>100</v>
      </c>
      <c r="I1" s="41" t="s">
        <v>101</v>
      </c>
      <c r="J1" s="41" t="s">
        <v>102</v>
      </c>
      <c r="K1" s="41" t="s">
        <v>103</v>
      </c>
      <c r="L1" s="41" t="s">
        <v>104</v>
      </c>
      <c r="M1" s="41" t="s">
        <v>105</v>
      </c>
      <c r="N1" s="41" t="s">
        <v>106</v>
      </c>
      <c r="O1" s="41" t="s">
        <v>107</v>
      </c>
      <c r="P1" s="41" t="s">
        <v>63</v>
      </c>
      <c r="Q1" s="72" t="s">
        <v>64</v>
      </c>
      <c r="R1" s="72" t="s">
        <v>65</v>
      </c>
      <c r="S1" s="72" t="s">
        <v>66</v>
      </c>
      <c r="T1" s="72" t="s">
        <v>67</v>
      </c>
      <c r="U1" s="72" t="s">
        <v>68</v>
      </c>
      <c r="V1" s="72" t="s">
        <v>69</v>
      </c>
      <c r="W1" s="72" t="s">
        <v>70</v>
      </c>
      <c r="X1" s="72" t="s">
        <v>71</v>
      </c>
      <c r="Y1" s="72" t="s">
        <v>72</v>
      </c>
      <c r="Z1" s="72" t="s">
        <v>73</v>
      </c>
      <c r="AA1" s="72" t="s">
        <v>74</v>
      </c>
      <c r="AB1" s="72" t="s">
        <v>75</v>
      </c>
      <c r="AC1" s="72" t="s">
        <v>76</v>
      </c>
      <c r="AD1" s="76" t="s">
        <v>77</v>
      </c>
    </row>
    <row r="2" spans="1:30" ht="15.75" thickBot="1" x14ac:dyDescent="0.25">
      <c r="A2" s="43">
        <v>112312</v>
      </c>
      <c r="B2" s="41" t="s">
        <v>108</v>
      </c>
      <c r="C2" s="41" t="s">
        <v>109</v>
      </c>
      <c r="D2" s="41" t="s">
        <v>110</v>
      </c>
      <c r="E2" s="41">
        <v>123123</v>
      </c>
      <c r="F2" s="41" t="s">
        <v>111</v>
      </c>
      <c r="G2" s="41">
        <v>112312</v>
      </c>
      <c r="H2" s="50" t="s">
        <v>108</v>
      </c>
      <c r="I2" s="50" t="s">
        <v>109</v>
      </c>
      <c r="J2" s="50" t="s">
        <v>110</v>
      </c>
      <c r="K2" s="50">
        <v>123123</v>
      </c>
      <c r="L2" s="50" t="s">
        <v>111</v>
      </c>
      <c r="M2" s="42">
        <v>43466</v>
      </c>
      <c r="N2" s="50">
        <v>43466</v>
      </c>
      <c r="O2" s="50">
        <v>43466</v>
      </c>
      <c r="P2" s="50"/>
      <c r="Q2" s="72" t="str">
        <f>IF(Table1[[#This Row],[Example Field 3]]&gt;5,"Yes","No")</f>
        <v>Yes</v>
      </c>
      <c r="R2" s="72" t="str">
        <f t="shared" ref="R2:AD2" si="0">IF(D2&gt;5,"Yes","No")</f>
        <v>Yes</v>
      </c>
      <c r="S2" s="72" t="str">
        <f t="shared" si="0"/>
        <v>Yes</v>
      </c>
      <c r="T2" s="72" t="str">
        <f t="shared" si="0"/>
        <v>Yes</v>
      </c>
      <c r="U2" s="72" t="str">
        <f t="shared" si="0"/>
        <v>Yes</v>
      </c>
      <c r="V2" s="72" t="str">
        <f t="shared" si="0"/>
        <v>Yes</v>
      </c>
      <c r="W2" s="72" t="str">
        <f t="shared" si="0"/>
        <v>Yes</v>
      </c>
      <c r="X2" s="72" t="str">
        <f t="shared" si="0"/>
        <v>Yes</v>
      </c>
      <c r="Y2" s="72" t="str">
        <f t="shared" si="0"/>
        <v>Yes</v>
      </c>
      <c r="Z2" s="72" t="str">
        <f t="shared" si="0"/>
        <v>Yes</v>
      </c>
      <c r="AA2" s="72" t="str">
        <f t="shared" si="0"/>
        <v>Yes</v>
      </c>
      <c r="AB2" s="72" t="str">
        <f t="shared" si="0"/>
        <v>Yes</v>
      </c>
      <c r="AC2" s="72" t="str">
        <f t="shared" si="0"/>
        <v>Yes</v>
      </c>
      <c r="AD2" s="76" t="str">
        <f t="shared" si="0"/>
        <v>No</v>
      </c>
    </row>
    <row r="3" spans="1:30" x14ac:dyDescent="0.2">
      <c r="A3" s="51"/>
      <c r="B3" s="51"/>
      <c r="C3" s="51"/>
      <c r="D3" s="51"/>
      <c r="E3" s="51"/>
      <c r="F3" s="51"/>
      <c r="G3" s="51"/>
      <c r="K3" s="51"/>
      <c r="L3" s="51"/>
      <c r="M3" s="51"/>
    </row>
  </sheetData>
  <phoneticPr fontId="2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15E79-3240-42C2-AA63-844C7ABC825D}">
  <sheetPr codeName="Sheet13">
    <tabColor theme="5"/>
  </sheetPr>
  <dimension ref="A1:O38"/>
  <sheetViews>
    <sheetView workbookViewId="0">
      <selection activeCell="D7" sqref="D7"/>
    </sheetView>
  </sheetViews>
  <sheetFormatPr defaultRowHeight="15" x14ac:dyDescent="0.25"/>
  <cols>
    <col min="1" max="1" width="17.42578125" style="44" customWidth="1"/>
    <col min="2" max="2" width="17.85546875" style="44" customWidth="1"/>
    <col min="4" max="4" width="10.7109375" bestFit="1" customWidth="1"/>
  </cols>
  <sheetData>
    <row r="1" spans="1:15" x14ac:dyDescent="0.25">
      <c r="A1" s="46" t="s">
        <v>33</v>
      </c>
      <c r="B1" s="45"/>
      <c r="C1" s="54"/>
      <c r="D1" s="56">
        <f ca="1">TODAY()</f>
        <v>43791</v>
      </c>
      <c r="E1" s="54"/>
      <c r="I1" t="s">
        <v>86</v>
      </c>
      <c r="J1" t="s">
        <v>86</v>
      </c>
      <c r="K1" t="s">
        <v>86</v>
      </c>
      <c r="L1" t="s">
        <v>86</v>
      </c>
      <c r="M1" t="s">
        <v>86</v>
      </c>
      <c r="N1" t="s">
        <v>86</v>
      </c>
      <c r="O1" t="s">
        <v>86</v>
      </c>
    </row>
    <row r="2" spans="1:15" x14ac:dyDescent="0.25">
      <c r="A2" s="46" t="s">
        <v>29</v>
      </c>
      <c r="B2" s="45">
        <v>42005</v>
      </c>
      <c r="I2" t="s">
        <v>55</v>
      </c>
      <c r="J2" t="s">
        <v>55</v>
      </c>
      <c r="K2" t="s">
        <v>55</v>
      </c>
      <c r="L2" t="s">
        <v>55</v>
      </c>
      <c r="M2" t="s">
        <v>55</v>
      </c>
      <c r="N2" t="s">
        <v>55</v>
      </c>
      <c r="O2" t="s">
        <v>55</v>
      </c>
    </row>
    <row r="3" spans="1:15" x14ac:dyDescent="0.25">
      <c r="A3" s="46" t="s">
        <v>28</v>
      </c>
      <c r="B3" s="45">
        <v>42030</v>
      </c>
      <c r="I3" t="s">
        <v>56</v>
      </c>
      <c r="J3" t="s">
        <v>56</v>
      </c>
      <c r="K3" t="s">
        <v>56</v>
      </c>
      <c r="L3" t="s">
        <v>56</v>
      </c>
      <c r="M3" t="s">
        <v>56</v>
      </c>
      <c r="N3" t="s">
        <v>56</v>
      </c>
      <c r="O3" t="s">
        <v>56</v>
      </c>
    </row>
    <row r="4" spans="1:15" x14ac:dyDescent="0.25">
      <c r="A4" s="46" t="s">
        <v>27</v>
      </c>
      <c r="B4" s="45">
        <v>42097</v>
      </c>
      <c r="I4" t="s">
        <v>57</v>
      </c>
      <c r="J4" t="s">
        <v>57</v>
      </c>
      <c r="K4" t="s">
        <v>57</v>
      </c>
      <c r="L4" t="s">
        <v>57</v>
      </c>
      <c r="M4" t="s">
        <v>57</v>
      </c>
      <c r="N4" t="s">
        <v>57</v>
      </c>
      <c r="O4" t="s">
        <v>57</v>
      </c>
    </row>
    <row r="5" spans="1:15" x14ac:dyDescent="0.25">
      <c r="A5" s="46" t="s">
        <v>26</v>
      </c>
      <c r="B5" s="45">
        <v>42100</v>
      </c>
      <c r="I5" t="s">
        <v>58</v>
      </c>
      <c r="J5" t="s">
        <v>58</v>
      </c>
      <c r="K5" t="s">
        <v>58</v>
      </c>
      <c r="L5" t="s">
        <v>58</v>
      </c>
      <c r="M5" t="s">
        <v>58</v>
      </c>
      <c r="N5" t="s">
        <v>58</v>
      </c>
      <c r="O5" t="s">
        <v>58</v>
      </c>
    </row>
    <row r="6" spans="1:15" x14ac:dyDescent="0.25">
      <c r="A6" s="46" t="s">
        <v>32</v>
      </c>
      <c r="B6" s="45">
        <v>42282</v>
      </c>
      <c r="I6" t="s">
        <v>59</v>
      </c>
      <c r="J6" t="s">
        <v>59</v>
      </c>
      <c r="K6" t="s">
        <v>59</v>
      </c>
      <c r="L6" t="s">
        <v>59</v>
      </c>
      <c r="M6" t="s">
        <v>59</v>
      </c>
      <c r="N6" t="s">
        <v>59</v>
      </c>
      <c r="O6" t="s">
        <v>59</v>
      </c>
    </row>
    <row r="7" spans="1:15" x14ac:dyDescent="0.25">
      <c r="A7" s="46" t="s">
        <v>31</v>
      </c>
      <c r="B7" s="45">
        <v>42228</v>
      </c>
      <c r="I7" t="s">
        <v>60</v>
      </c>
      <c r="J7" t="s">
        <v>60</v>
      </c>
      <c r="K7" t="s">
        <v>60</v>
      </c>
      <c r="L7" t="s">
        <v>60</v>
      </c>
      <c r="M7" t="s">
        <v>60</v>
      </c>
      <c r="N7" t="s">
        <v>60</v>
      </c>
      <c r="O7" t="s">
        <v>60</v>
      </c>
    </row>
    <row r="8" spans="1:15" x14ac:dyDescent="0.25">
      <c r="A8" s="46" t="s">
        <v>30</v>
      </c>
      <c r="B8" s="45">
        <v>42163</v>
      </c>
      <c r="I8" t="s">
        <v>61</v>
      </c>
      <c r="J8" t="s">
        <v>61</v>
      </c>
      <c r="K8" t="s">
        <v>61</v>
      </c>
      <c r="L8" t="s">
        <v>61</v>
      </c>
      <c r="M8" t="s">
        <v>61</v>
      </c>
      <c r="N8" t="s">
        <v>61</v>
      </c>
      <c r="O8" t="s">
        <v>61</v>
      </c>
    </row>
    <row r="9" spans="1:15" x14ac:dyDescent="0.25">
      <c r="A9" s="46" t="s">
        <v>24</v>
      </c>
      <c r="B9" s="45">
        <v>42363</v>
      </c>
      <c r="C9" s="54"/>
      <c r="D9" s="54"/>
      <c r="E9" s="54"/>
      <c r="I9" t="s">
        <v>62</v>
      </c>
      <c r="J9" t="s">
        <v>62</v>
      </c>
      <c r="K9" t="s">
        <v>62</v>
      </c>
      <c r="L9" t="s">
        <v>62</v>
      </c>
      <c r="M9" t="s">
        <v>62</v>
      </c>
      <c r="N9" t="s">
        <v>62</v>
      </c>
      <c r="O9" t="s">
        <v>62</v>
      </c>
    </row>
    <row r="10" spans="1:15" x14ac:dyDescent="0.25">
      <c r="A10" s="46" t="s">
        <v>23</v>
      </c>
      <c r="B10" s="45">
        <v>42366</v>
      </c>
    </row>
    <row r="11" spans="1:15" x14ac:dyDescent="0.25">
      <c r="A11" s="46" t="s">
        <v>29</v>
      </c>
      <c r="B11" s="45">
        <v>42370</v>
      </c>
    </row>
    <row r="12" spans="1:15" x14ac:dyDescent="0.25">
      <c r="A12" s="46" t="s">
        <v>28</v>
      </c>
      <c r="B12" s="45">
        <v>42395</v>
      </c>
    </row>
    <row r="13" spans="1:15" x14ac:dyDescent="0.25">
      <c r="A13" s="46" t="s">
        <v>27</v>
      </c>
      <c r="B13" s="45">
        <v>42454</v>
      </c>
    </row>
    <row r="14" spans="1:15" x14ac:dyDescent="0.25">
      <c r="A14" s="46" t="s">
        <v>26</v>
      </c>
      <c r="B14" s="45">
        <v>42457</v>
      </c>
    </row>
    <row r="15" spans="1:15" x14ac:dyDescent="0.25">
      <c r="A15" s="46" t="s">
        <v>25</v>
      </c>
      <c r="B15" s="45">
        <v>42485</v>
      </c>
    </row>
    <row r="16" spans="1:15" x14ac:dyDescent="0.25">
      <c r="A16" s="46" t="s">
        <v>24</v>
      </c>
      <c r="B16" s="45">
        <v>42731</v>
      </c>
    </row>
    <row r="17" spans="1:2" x14ac:dyDescent="0.25">
      <c r="A17" s="46" t="s">
        <v>23</v>
      </c>
      <c r="B17" s="45">
        <v>42730</v>
      </c>
    </row>
    <row r="18" spans="1:2" x14ac:dyDescent="0.25">
      <c r="A18" s="46" t="s">
        <v>29</v>
      </c>
      <c r="B18" s="45">
        <v>42737</v>
      </c>
    </row>
    <row r="19" spans="1:2" x14ac:dyDescent="0.25">
      <c r="A19" s="46" t="s">
        <v>28</v>
      </c>
      <c r="B19" s="45">
        <v>42761</v>
      </c>
    </row>
    <row r="20" spans="1:2" x14ac:dyDescent="0.25">
      <c r="A20" s="46" t="s">
        <v>27</v>
      </c>
      <c r="B20" s="45">
        <v>42839</v>
      </c>
    </row>
    <row r="21" spans="1:2" x14ac:dyDescent="0.25">
      <c r="A21" s="46" t="s">
        <v>26</v>
      </c>
      <c r="B21" s="45">
        <v>42842</v>
      </c>
    </row>
    <row r="22" spans="1:2" x14ac:dyDescent="0.25">
      <c r="A22" s="46" t="s">
        <v>25</v>
      </c>
      <c r="B22" s="45">
        <v>42850</v>
      </c>
    </row>
    <row r="23" spans="1:2" x14ac:dyDescent="0.25">
      <c r="A23" s="46" t="s">
        <v>24</v>
      </c>
      <c r="B23" s="45">
        <v>43094</v>
      </c>
    </row>
    <row r="24" spans="1:2" x14ac:dyDescent="0.25">
      <c r="A24" s="46" t="s">
        <v>23</v>
      </c>
      <c r="B24" s="45">
        <v>43095</v>
      </c>
    </row>
    <row r="25" spans="1:2" x14ac:dyDescent="0.25">
      <c r="A25" s="46" t="s">
        <v>29</v>
      </c>
      <c r="B25" s="45">
        <v>43101</v>
      </c>
    </row>
    <row r="26" spans="1:2" x14ac:dyDescent="0.25">
      <c r="A26" s="46" t="s">
        <v>28</v>
      </c>
      <c r="B26" s="45">
        <v>43126</v>
      </c>
    </row>
    <row r="27" spans="1:2" x14ac:dyDescent="0.25">
      <c r="A27" s="46" t="s">
        <v>27</v>
      </c>
      <c r="B27" s="45">
        <v>43189</v>
      </c>
    </row>
    <row r="28" spans="1:2" x14ac:dyDescent="0.25">
      <c r="A28" s="46" t="s">
        <v>26</v>
      </c>
      <c r="B28" s="45">
        <v>43192</v>
      </c>
    </row>
    <row r="29" spans="1:2" x14ac:dyDescent="0.25">
      <c r="A29" s="46" t="s">
        <v>25</v>
      </c>
      <c r="B29" s="45">
        <v>43215</v>
      </c>
    </row>
    <row r="30" spans="1:2" x14ac:dyDescent="0.25">
      <c r="A30" s="46" t="s">
        <v>24</v>
      </c>
      <c r="B30" s="45">
        <v>43459</v>
      </c>
    </row>
    <row r="31" spans="1:2" x14ac:dyDescent="0.25">
      <c r="A31" s="46" t="s">
        <v>23</v>
      </c>
      <c r="B31" s="45">
        <v>43460</v>
      </c>
    </row>
    <row r="32" spans="1:2" x14ac:dyDescent="0.25">
      <c r="A32" s="46" t="s">
        <v>29</v>
      </c>
      <c r="B32" s="45">
        <v>43466</v>
      </c>
    </row>
    <row r="33" spans="1:2" x14ac:dyDescent="0.25">
      <c r="A33" s="46" t="s">
        <v>28</v>
      </c>
      <c r="B33" s="45">
        <v>43493</v>
      </c>
    </row>
    <row r="34" spans="1:2" x14ac:dyDescent="0.25">
      <c r="A34" s="46" t="s">
        <v>27</v>
      </c>
      <c r="B34" s="45">
        <v>43574</v>
      </c>
    </row>
    <row r="35" spans="1:2" x14ac:dyDescent="0.25">
      <c r="A35" s="46" t="s">
        <v>26</v>
      </c>
      <c r="B35" s="45">
        <v>43577</v>
      </c>
    </row>
    <row r="36" spans="1:2" x14ac:dyDescent="0.25">
      <c r="A36" s="46" t="s">
        <v>25</v>
      </c>
      <c r="B36" s="45">
        <v>43580</v>
      </c>
    </row>
    <row r="37" spans="1:2" x14ac:dyDescent="0.25">
      <c r="A37" s="46" t="s">
        <v>24</v>
      </c>
      <c r="B37" s="45">
        <v>43824</v>
      </c>
    </row>
    <row r="38" spans="1:2" x14ac:dyDescent="0.25">
      <c r="A38" s="46" t="s">
        <v>23</v>
      </c>
      <c r="B38" s="45">
        <v>43825</v>
      </c>
    </row>
  </sheetData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AUTOMATION</vt:lpstr>
      <vt:lpstr>Instructions</vt:lpstr>
      <vt:lpstr>Dashboard</vt:lpstr>
      <vt:lpstr>DATA</vt:lpstr>
      <vt:lpstr>LU</vt:lpstr>
      <vt:lpstr>DistributionList</vt:lpstr>
      <vt:lpstr>EmailSubject</vt:lpstr>
      <vt:lpstr>Filter1</vt:lpstr>
      <vt:lpstr>Filter2</vt:lpstr>
      <vt:lpstr>Filter3</vt:lpstr>
      <vt:lpstr>Filter4</vt:lpstr>
      <vt:lpstr>Filter5</vt:lpstr>
      <vt:lpstr>Filter6</vt:lpstr>
      <vt:lpstr>Filter7</vt:lpstr>
      <vt:lpstr>ReportName</vt:lpstr>
      <vt:lpstr>ReportPath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Joerg Wood</dc:creator>
  <cp:lastModifiedBy>Joerg Wood</cp:lastModifiedBy>
  <dcterms:created xsi:type="dcterms:W3CDTF">2019-04-03T03:48:03Z</dcterms:created>
  <dcterms:modified xsi:type="dcterms:W3CDTF">2019-11-22T05:01:55Z</dcterms:modified>
</cp:coreProperties>
</file>