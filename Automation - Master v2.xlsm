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wood\Desktop\"/>
    </mc:Choice>
  </mc:AlternateContent>
  <xr:revisionPtr revIDLastSave="0" documentId="13_ncr:1_{91D9856F-0A0C-4072-9973-3E2A83367BF1}" xr6:coauthVersionLast="45" xr6:coauthVersionMax="45" xr10:uidLastSave="{00000000-0000-0000-0000-000000000000}"/>
  <bookViews>
    <workbookView xWindow="31455" yWindow="1185" windowWidth="20310" windowHeight="12900" xr2:uid="{00000000-000D-0000-FFFF-FFFF00000000}"/>
  </bookViews>
  <sheets>
    <sheet name="MASTER" sheetId="2" r:id="rId1"/>
    <sheet name="LU" sheetId="3" r:id="rId2"/>
  </sheets>
  <functionGroups builtInGroupCount="19"/>
  <definedNames>
    <definedName name="FailEmail">MASTER!$D$47</definedName>
    <definedName name="FirstOfMonth">LU!$B$2</definedName>
    <definedName name="FirstOfWeek">LU!$B$4</definedName>
    <definedName name="LastOfWeek">LU!$B$5</definedName>
    <definedName name="Textday">LU!$B$6</definedName>
    <definedName name="Today">LU!$B$1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3" l="1"/>
  <c r="J6" i="2" l="1"/>
  <c r="J7" i="2"/>
  <c r="J4" i="2"/>
  <c r="F4" i="2" s="1"/>
  <c r="J5" i="2"/>
  <c r="F5" i="2" s="1"/>
  <c r="J2" i="2"/>
  <c r="F2" i="2" s="1"/>
  <c r="J3" i="2"/>
  <c r="F3" i="2" s="1"/>
  <c r="F7" i="2"/>
  <c r="L7" i="2"/>
  <c r="L5" i="2"/>
  <c r="L4" i="2"/>
  <c r="L2" i="2"/>
  <c r="L3" i="2"/>
  <c r="F6" i="2"/>
  <c r="B6" i="3"/>
  <c r="B2" i="3"/>
  <c r="B4" i="3"/>
  <c r="J13" i="2" s="1"/>
  <c r="B5" i="3"/>
  <c r="J14" i="2" l="1"/>
  <c r="F14" i="2" s="1"/>
  <c r="J24" i="2"/>
  <c r="F24" i="2" s="1"/>
  <c r="L24" i="2"/>
  <c r="L13" i="2"/>
  <c r="L14" i="2"/>
  <c r="J25" i="2"/>
  <c r="F13" i="2"/>
  <c r="J32" i="2"/>
</calcChain>
</file>

<file path=xl/sharedStrings.xml><?xml version="1.0" encoding="utf-8"?>
<sst xmlns="http://schemas.openxmlformats.org/spreadsheetml/2006/main" count="38" uniqueCount="30">
  <si>
    <t>Report Name</t>
  </si>
  <si>
    <t>workbooks.open</t>
  </si>
  <si>
    <t>application.run</t>
  </si>
  <si>
    <t>Schedule</t>
  </si>
  <si>
    <t>To Run</t>
  </si>
  <si>
    <t>Generation prerequisites</t>
  </si>
  <si>
    <t>Access required</t>
  </si>
  <si>
    <t>Last run</t>
  </si>
  <si>
    <t>Due?</t>
  </si>
  <si>
    <t>Daily</t>
  </si>
  <si>
    <t>Weekdays</t>
  </si>
  <si>
    <t>N</t>
  </si>
  <si>
    <t>Weekly</t>
  </si>
  <si>
    <t>Monday</t>
  </si>
  <si>
    <t>Monthly</t>
  </si>
  <si>
    <t>First of month</t>
  </si>
  <si>
    <t>By End of first week of month</t>
  </si>
  <si>
    <t>Quarterly</t>
  </si>
  <si>
    <t>*cycles through bottom to top, all where F = Y, opens workbook in C &amp; application.run's D, updates I when complete</t>
  </si>
  <si>
    <t>Today</t>
  </si>
  <si>
    <t>Holidays</t>
  </si>
  <si>
    <t>FirstOfMonth</t>
  </si>
  <si>
    <t>FirstOfQuarter</t>
  </si>
  <si>
    <t>FirstOfWeek</t>
  </si>
  <si>
    <t>LastOfWeek</t>
  </si>
  <si>
    <t>Textday</t>
  </si>
  <si>
    <t>Prerequisite Cognos Reports (Pipe Delim)</t>
  </si>
  <si>
    <t>Cognos reports should be dated…</t>
  </si>
  <si>
    <t>Email failures to:</t>
  </si>
  <si>
    <t>joerg.wood@gmail.com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</si>
</sst>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8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206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indexed="64"/>
      </right>
      <top/>
      <bottom/>
      <diagonal/>
    </border>
    <border>
      <left style="medium">
        <color indexed="64"/>
      </left>
      <right style="dashDotDot">
        <color theme="0" tint="-0.34998626667073579"/>
      </right>
      <top/>
      <bottom style="dashDotDot">
        <color theme="0" tint="-0.34998626667073579"/>
      </bottom>
      <diagonal/>
    </border>
    <border>
      <left style="dashDotDot">
        <color theme="0" tint="-0.34998626667073579"/>
      </left>
      <right style="dashDotDot">
        <color theme="0" tint="-0.34998626667073579"/>
      </right>
      <top style="medium">
        <color theme="0" tint="-0.499984740745262"/>
      </top>
      <bottom style="dashDotDot">
        <color theme="0" tint="-0.34998626667073579"/>
      </bottom>
      <diagonal/>
    </border>
    <border>
      <left style="dashDotDot">
        <color theme="0" tint="-0.34998626667073579"/>
      </left>
      <right style="dashDotDot">
        <color theme="0" tint="-0.34998626667073579"/>
      </right>
      <top/>
      <bottom style="dashDotDot">
        <color theme="0" tint="-0.34998626667073579"/>
      </bottom>
      <diagonal/>
    </border>
    <border>
      <left style="dashDotDot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dashDotDot">
        <color theme="0" tint="-0.34998626667073579"/>
      </bottom>
      <diagonal/>
    </border>
    <border>
      <left style="medium">
        <color theme="0" tint="-0.499984740745262"/>
      </left>
      <right/>
      <top/>
      <bottom/>
      <diagonal/>
    </border>
    <border>
      <left style="medium">
        <color indexed="64"/>
      </left>
      <right style="dashDotDot">
        <color theme="0" tint="-0.34998626667073579"/>
      </right>
      <top style="dashDotDot">
        <color theme="0" tint="-0.34998626667073579"/>
      </top>
      <bottom style="dashDotDot">
        <color theme="0" tint="-0.34998626667073579"/>
      </bottom>
      <diagonal/>
    </border>
    <border>
      <left style="dashDotDot">
        <color theme="0" tint="-0.34998626667073579"/>
      </left>
      <right style="dashDotDot">
        <color theme="0" tint="-0.34998626667073579"/>
      </right>
      <top style="dashDotDot">
        <color theme="0" tint="-0.34998626667073579"/>
      </top>
      <bottom style="dashDotDot">
        <color theme="0" tint="-0.34998626667073579"/>
      </bottom>
      <diagonal/>
    </border>
    <border>
      <left style="dashDotDot">
        <color theme="0" tint="-0.34998626667073579"/>
      </left>
      <right style="medium">
        <color theme="0" tint="-0.499984740745262"/>
      </right>
      <top style="dashDotDot">
        <color theme="0" tint="-0.34998626667073579"/>
      </top>
      <bottom style="dashDotDot">
        <color theme="0" tint="-0.34998626667073579"/>
      </bottom>
      <diagonal/>
    </border>
    <border>
      <left style="medium">
        <color theme="0" tint="-0.499984740745262"/>
      </left>
      <right style="medium">
        <color indexed="64"/>
      </right>
      <top/>
      <bottom style="medium">
        <color theme="0" tint="-0.499984740745262"/>
      </bottom>
      <diagonal/>
    </border>
    <border>
      <left style="medium">
        <color indexed="64"/>
      </left>
      <right style="dashDotDot">
        <color theme="0" tint="-0.34998626667073579"/>
      </right>
      <top style="dashDotDot">
        <color theme="0" tint="-0.34998626667073579"/>
      </top>
      <bottom style="medium">
        <color theme="0" tint="-0.499984740745262"/>
      </bottom>
      <diagonal/>
    </border>
    <border>
      <left style="dashDotDot">
        <color theme="0" tint="-0.34998626667073579"/>
      </left>
      <right style="dashDotDot">
        <color theme="0" tint="-0.34998626667073579"/>
      </right>
      <top style="dashDotDot">
        <color theme="0" tint="-0.34998626667073579"/>
      </top>
      <bottom style="medium">
        <color theme="0" tint="-0.499984740745262"/>
      </bottom>
      <diagonal/>
    </border>
    <border>
      <left style="dashDotDot">
        <color theme="0" tint="-0.34998626667073579"/>
      </left>
      <right style="medium">
        <color theme="0" tint="-0.499984740745262"/>
      </right>
      <top style="dashDotDot">
        <color theme="0" tint="-0.34998626667073579"/>
      </top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indexed="64"/>
      </right>
      <top style="medium">
        <color theme="0" tint="-0.499984740745262"/>
      </top>
      <bottom/>
      <diagonal/>
    </border>
    <border>
      <left style="medium">
        <color indexed="64"/>
      </left>
      <right style="dashDotDot">
        <color theme="0" tint="-0.34998626667073579"/>
      </right>
      <top style="medium">
        <color theme="0" tint="-0.499984740745262"/>
      </top>
      <bottom style="dashDotDot">
        <color theme="0" tint="-0.34998626667073579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4">
    <xf numFmtId="0" fontId="0" fillId="0" borderId="0" xfId="0"/>
    <xf numFmtId="0" fontId="0" fillId="2" borderId="0" xfId="0" applyFill="1"/>
    <xf numFmtId="0" fontId="0" fillId="4" borderId="3" xfId="0" applyFill="1" applyBorder="1"/>
    <xf numFmtId="0" fontId="0" fillId="5" borderId="4" xfId="0" applyFill="1" applyBorder="1"/>
    <xf numFmtId="0" fontId="0" fillId="5" borderId="5" xfId="0" quotePrefix="1" applyFill="1" applyBorder="1"/>
    <xf numFmtId="0" fontId="0" fillId="4" borderId="5" xfId="0" applyFill="1" applyBorder="1"/>
    <xf numFmtId="0" fontId="0" fillId="5" borderId="5" xfId="0" applyFill="1" applyBorder="1" applyAlignment="1">
      <alignment horizontal="center"/>
    </xf>
    <xf numFmtId="0" fontId="4" fillId="4" borderId="5" xfId="0" applyFont="1" applyFill="1" applyBorder="1"/>
    <xf numFmtId="0" fontId="5" fillId="4" borderId="5" xfId="0" applyFont="1" applyFill="1" applyBorder="1" applyAlignment="1">
      <alignment horizontal="center" vertical="center"/>
    </xf>
    <xf numFmtId="0" fontId="0" fillId="4" borderId="4" xfId="0" applyFill="1" applyBorder="1"/>
    <xf numFmtId="0" fontId="0" fillId="4" borderId="6" xfId="0" applyFill="1" applyBorder="1"/>
    <xf numFmtId="0" fontId="0" fillId="2" borderId="7" xfId="0" applyFill="1" applyBorder="1"/>
    <xf numFmtId="0" fontId="0" fillId="4" borderId="8" xfId="0" applyFill="1" applyBorder="1"/>
    <xf numFmtId="0" fontId="0" fillId="5" borderId="9" xfId="0" applyFill="1" applyBorder="1"/>
    <xf numFmtId="0" fontId="0" fillId="5" borderId="9" xfId="0" quotePrefix="1" applyFill="1" applyBorder="1"/>
    <xf numFmtId="0" fontId="0" fillId="4" borderId="9" xfId="0" applyFill="1" applyBorder="1"/>
    <xf numFmtId="0" fontId="0" fillId="5" borderId="9" xfId="0" applyFill="1" applyBorder="1" applyAlignment="1">
      <alignment horizontal="center"/>
    </xf>
    <xf numFmtId="0" fontId="4" fillId="4" borderId="9" xfId="0" applyFont="1" applyFill="1" applyBorder="1"/>
    <xf numFmtId="0" fontId="5" fillId="4" borderId="9" xfId="0" applyFont="1" applyFill="1" applyBorder="1" applyAlignment="1">
      <alignment horizontal="center" vertical="center"/>
    </xf>
    <xf numFmtId="0" fontId="0" fillId="4" borderId="10" xfId="0" applyFill="1" applyBorder="1"/>
    <xf numFmtId="14" fontId="0" fillId="5" borderId="9" xfId="0" applyNumberFormat="1" applyFill="1" applyBorder="1" applyAlignment="1">
      <alignment horizontal="center"/>
    </xf>
    <xf numFmtId="0" fontId="0" fillId="4" borderId="12" xfId="0" applyFill="1" applyBorder="1"/>
    <xf numFmtId="0" fontId="0" fillId="5" borderId="13" xfId="0" applyFill="1" applyBorder="1"/>
    <xf numFmtId="0" fontId="0" fillId="4" borderId="13" xfId="0" applyFill="1" applyBorder="1"/>
    <xf numFmtId="0" fontId="0" fillId="5" borderId="13" xfId="0" applyFill="1" applyBorder="1" applyAlignment="1">
      <alignment horizontal="center"/>
    </xf>
    <xf numFmtId="0" fontId="4" fillId="4" borderId="13" xfId="0" applyFont="1" applyFill="1" applyBorder="1"/>
    <xf numFmtId="14" fontId="0" fillId="5" borderId="13" xfId="0" applyNumberForma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0" fillId="4" borderId="14" xfId="0" applyFill="1" applyBorder="1"/>
    <xf numFmtId="0" fontId="0" fillId="4" borderId="16" xfId="0" applyFill="1" applyBorder="1"/>
    <xf numFmtId="0" fontId="0" fillId="5" borderId="4" xfId="0" quotePrefix="1" applyFill="1" applyBorder="1"/>
    <xf numFmtId="0" fontId="0" fillId="5" borderId="4" xfId="0" applyFill="1" applyBorder="1" applyAlignment="1">
      <alignment horizontal="center"/>
    </xf>
    <xf numFmtId="0" fontId="4" fillId="4" borderId="4" xfId="0" applyFont="1" applyFill="1" applyBorder="1"/>
    <xf numFmtId="14" fontId="0" fillId="5" borderId="4" xfId="0" applyNumberFormat="1" applyFill="1" applyBorder="1" applyAlignment="1">
      <alignment horizontal="center"/>
    </xf>
    <xf numFmtId="0" fontId="5" fillId="4" borderId="4" xfId="0" applyFont="1" applyFill="1" applyBorder="1" applyAlignment="1">
      <alignment horizontal="center" vertical="center"/>
    </xf>
    <xf numFmtId="0" fontId="6" fillId="4" borderId="8" xfId="0" applyFont="1" applyFill="1" applyBorder="1"/>
    <xf numFmtId="0" fontId="0" fillId="2" borderId="0" xfId="0" applyFill="1" applyAlignment="1">
      <alignment horizontal="center"/>
    </xf>
    <xf numFmtId="14" fontId="0" fillId="2" borderId="0" xfId="0" applyNumberFormat="1" applyFill="1" applyAlignment="1">
      <alignment horizontal="center"/>
    </xf>
    <xf numFmtId="0" fontId="4" fillId="2" borderId="0" xfId="0" quotePrefix="1" applyFont="1" applyFill="1"/>
    <xf numFmtId="14" fontId="0" fillId="0" borderId="0" xfId="0" applyNumberFormat="1"/>
    <xf numFmtId="0" fontId="1" fillId="0" borderId="0" xfId="0" applyFont="1"/>
    <xf numFmtId="16" fontId="0" fillId="0" borderId="0" xfId="0" applyNumberFormat="1"/>
    <xf numFmtId="0" fontId="7" fillId="5" borderId="9" xfId="1" applyFill="1" applyBorder="1"/>
    <xf numFmtId="14" fontId="4" fillId="4" borderId="9" xfId="0" applyNumberFormat="1" applyFont="1" applyFill="1" applyBorder="1"/>
    <xf numFmtId="14" fontId="0" fillId="5" borderId="4" xfId="0" quotePrefix="1" applyNumberFormat="1" applyFill="1" applyBorder="1" applyAlignment="1">
      <alignment horizontal="center"/>
    </xf>
    <xf numFmtId="14" fontId="0" fillId="5" borderId="9" xfId="0" quotePrefix="1" applyNumberFormat="1" applyFill="1" applyBorder="1" applyAlignment="1">
      <alignment horizontal="center"/>
    </xf>
    <xf numFmtId="14" fontId="0" fillId="5" borderId="5" xfId="0" quotePrefix="1" applyNumberFormat="1" applyFill="1" applyBorder="1" applyAlignment="1">
      <alignment horizontal="center"/>
    </xf>
    <xf numFmtId="0" fontId="6" fillId="5" borderId="5" xfId="0" applyFont="1" applyFill="1" applyBorder="1" applyAlignment="1">
      <alignment horizontal="center"/>
    </xf>
    <xf numFmtId="0" fontId="7" fillId="5" borderId="4" xfId="1" applyFill="1" applyBorder="1"/>
    <xf numFmtId="0" fontId="3" fillId="3" borderId="2" xfId="0" applyFont="1" applyFill="1" applyBorder="1" applyAlignment="1">
      <alignment horizontal="center" vertical="center" textRotation="90"/>
    </xf>
    <xf numFmtId="0" fontId="3" fillId="3" borderId="11" xfId="0" applyFont="1" applyFill="1" applyBorder="1" applyAlignment="1">
      <alignment horizontal="center" vertical="center" textRotation="90"/>
    </xf>
    <xf numFmtId="0" fontId="3" fillId="3" borderId="15" xfId="0" applyFont="1" applyFill="1" applyBorder="1" applyAlignment="1">
      <alignment horizontal="center" vertical="center" textRotation="90"/>
    </xf>
    <xf numFmtId="0" fontId="0" fillId="2" borderId="1" xfId="0" applyFill="1" applyBorder="1" applyAlignment="1">
      <alignment wrapText="1"/>
    </xf>
    <xf numFmtId="0" fontId="1" fillId="2" borderId="1" xfId="0" applyFont="1" applyFill="1" applyBorder="1" applyAlignment="1">
      <alignment wrapText="1"/>
    </xf>
    <xf numFmtId="0" fontId="1" fillId="2" borderId="1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0" fontId="0" fillId="2" borderId="0" xfId="0" applyFill="1" applyAlignment="1">
      <alignment wrapText="1"/>
    </xf>
    <xf numFmtId="14" fontId="0" fillId="4" borderId="4" xfId="0" applyNumberFormat="1" applyFill="1" applyBorder="1"/>
    <xf numFmtId="14" fontId="0" fillId="4" borderId="9" xfId="0" applyNumberFormat="1" applyFill="1" applyBorder="1"/>
    <xf numFmtId="0" fontId="7" fillId="4" borderId="4" xfId="1" applyFill="1" applyBorder="1"/>
    <xf numFmtId="0" fontId="8" fillId="2" borderId="0" xfId="0" applyFont="1" applyFill="1" applyAlignment="1">
      <alignment horizontal="right"/>
    </xf>
    <xf numFmtId="0" fontId="7" fillId="4" borderId="9" xfId="1" applyFill="1" applyBorder="1"/>
    <xf numFmtId="0" fontId="7" fillId="2" borderId="0" xfId="1" applyFill="1"/>
    <xf numFmtId="14" fontId="0" fillId="6" borderId="9" xfId="0" applyNumberFormat="1" applyFill="1" applyBorder="1"/>
  </cellXfs>
  <cellStyles count="2">
    <cellStyle name="Hyperlink" xfId="1" builtinId="8"/>
    <cellStyle name="Normal" xfId="0" builtinId="0"/>
  </cellStyles>
  <dxfs count="10">
    <dxf>
      <font>
        <color theme="0"/>
      </font>
      <fill>
        <patternFill>
          <bgColor theme="1"/>
        </patternFill>
      </fill>
    </dxf>
    <dxf>
      <font>
        <b/>
        <i val="0"/>
        <color theme="9" tint="0.39994506668294322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b/>
        <i val="0"/>
        <color theme="9" tint="0.39994506668294322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b/>
        <i val="0"/>
        <color theme="9" tint="0.39994506668294322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b/>
        <i val="0"/>
        <color theme="9" tint="0.39994506668294322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b/>
        <i val="0"/>
        <color theme="9" tint="0.39994506668294322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45</xdr:row>
          <xdr:rowOff>123825</xdr:rowOff>
        </xdr:from>
        <xdr:to>
          <xdr:col>1</xdr:col>
          <xdr:colOff>1123950</xdr:colOff>
          <xdr:row>47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Run*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oerg.wood@gmail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27A99-DFB8-4096-8BB9-11FCAB60C13E}">
  <sheetPr codeName="Sheet1"/>
  <dimension ref="A1:O74"/>
  <sheetViews>
    <sheetView tabSelected="1" workbookViewId="0"/>
  </sheetViews>
  <sheetFormatPr defaultColWidth="0" defaultRowHeight="15" customHeight="1" zeroHeight="1" x14ac:dyDescent="0.25"/>
  <cols>
    <col min="1" max="1" width="7.140625" style="1" customWidth="1"/>
    <col min="2" max="2" width="22.42578125" style="1" customWidth="1"/>
    <col min="3" max="3" width="27.85546875" style="1" customWidth="1"/>
    <col min="4" max="4" width="44" style="1" customWidth="1"/>
    <col min="5" max="5" width="13.5703125" style="1" bestFit="1" customWidth="1"/>
    <col min="6" max="6" width="9" style="36" customWidth="1"/>
    <col min="7" max="7" width="46" style="1" customWidth="1"/>
    <col min="8" max="8" width="36.7109375" style="1" customWidth="1"/>
    <col min="9" max="9" width="11" style="37" customWidth="1"/>
    <col min="10" max="10" width="12.7109375" style="1" customWidth="1"/>
    <col min="11" max="11" width="23" style="1" customWidth="1"/>
    <col min="12" max="12" width="17" style="1" customWidth="1"/>
    <col min="13" max="14" width="11.7109375" style="1" hidden="1" customWidth="1"/>
    <col min="15" max="15" width="2.7109375" style="1" customWidth="1"/>
    <col min="16" max="17" width="9.140625" style="1" hidden="1" customWidth="1"/>
    <col min="18" max="16384" width="9.140625" style="1" hidden="1"/>
  </cols>
  <sheetData>
    <row r="1" spans="1:15" s="56" customFormat="1" ht="30.75" thickBot="1" x14ac:dyDescent="0.3">
      <c r="A1" s="52"/>
      <c r="B1" s="53" t="s">
        <v>0</v>
      </c>
      <c r="C1" s="53" t="s">
        <v>1</v>
      </c>
      <c r="D1" s="53" t="s">
        <v>2</v>
      </c>
      <c r="E1" s="53" t="s">
        <v>3</v>
      </c>
      <c r="F1" s="54" t="s">
        <v>4</v>
      </c>
      <c r="G1" s="53" t="s">
        <v>5</v>
      </c>
      <c r="H1" s="53" t="s">
        <v>6</v>
      </c>
      <c r="I1" s="54" t="s">
        <v>7</v>
      </c>
      <c r="J1" s="53" t="s">
        <v>8</v>
      </c>
      <c r="K1" s="55" t="s">
        <v>26</v>
      </c>
      <c r="L1" s="55" t="s">
        <v>27</v>
      </c>
      <c r="M1" s="55"/>
      <c r="N1" s="55"/>
    </row>
    <row r="2" spans="1:15" x14ac:dyDescent="0.25">
      <c r="A2" s="49" t="s">
        <v>9</v>
      </c>
      <c r="B2" s="2"/>
      <c r="C2" s="48"/>
      <c r="D2" s="4"/>
      <c r="E2" s="5" t="s">
        <v>10</v>
      </c>
      <c r="F2" s="6" t="e">
        <f t="shared" ref="F2:F5" ca="1" si="0">IF(J2="----[ DUE ]----","Y","N")</f>
        <v>#VALUE!</v>
      </c>
      <c r="G2" s="7"/>
      <c r="H2" s="7"/>
      <c r="I2" s="46"/>
      <c r="J2" s="8" t="e">
        <f ca="1">IF(OR(TEXT(Today,"DDD")="Sat",TEXT(Today,"DDD")="Sun"),"",IF(NOT(DATEVALUE(I2)=Today),"----[ DUE ]----",""))</f>
        <v>#VALUE!</v>
      </c>
      <c r="K2" s="9"/>
      <c r="L2" s="57">
        <f ca="1">Today</f>
        <v>43791</v>
      </c>
      <c r="M2" s="9"/>
      <c r="N2" s="10"/>
      <c r="O2" s="11"/>
    </row>
    <row r="3" spans="1:15" x14ac:dyDescent="0.25">
      <c r="A3" s="49"/>
      <c r="B3" s="12"/>
      <c r="C3" s="42"/>
      <c r="D3" s="14"/>
      <c r="E3" s="15" t="s">
        <v>10</v>
      </c>
      <c r="F3" s="6" t="e">
        <f t="shared" ca="1" si="0"/>
        <v>#VALUE!</v>
      </c>
      <c r="G3" s="17"/>
      <c r="H3" s="17"/>
      <c r="I3" s="46"/>
      <c r="J3" s="8" t="e">
        <f ca="1">IF(OR(TEXT(Today,"DDD")="Sat",TEXT(Today,"DDD")="Sun"),"",IF(NOT(DATEVALUE(I3)=Today),"----[ DUE ]----",""))</f>
        <v>#VALUE!</v>
      </c>
      <c r="K3" s="15"/>
      <c r="L3" s="58">
        <f ca="1">Today</f>
        <v>43791</v>
      </c>
      <c r="M3" s="15"/>
      <c r="N3" s="19"/>
      <c r="O3" s="11"/>
    </row>
    <row r="4" spans="1:15" x14ac:dyDescent="0.25">
      <c r="A4" s="49"/>
      <c r="B4" s="12"/>
      <c r="C4" s="42"/>
      <c r="D4" s="14"/>
      <c r="E4" s="15" t="s">
        <v>10</v>
      </c>
      <c r="F4" s="6" t="e">
        <f t="shared" ca="1" si="0"/>
        <v>#VALUE!</v>
      </c>
      <c r="G4" s="17"/>
      <c r="H4" s="17"/>
      <c r="I4" s="46"/>
      <c r="J4" s="8" t="e">
        <f ca="1">IF(OR(TEXT(Today,"DDD")="Sat",TEXT(Today,"DDD")="Sun"),"",IF(NOT(DATEVALUE(I4)=Today),"----[ DUE ]----",""))</f>
        <v>#VALUE!</v>
      </c>
      <c r="K4" s="15"/>
      <c r="L4" s="58">
        <f ca="1">Today</f>
        <v>43791</v>
      </c>
      <c r="M4" s="15"/>
      <c r="N4" s="19"/>
      <c r="O4" s="11"/>
    </row>
    <row r="5" spans="1:15" x14ac:dyDescent="0.25">
      <c r="A5" s="49"/>
      <c r="B5" s="12"/>
      <c r="C5" s="42"/>
      <c r="D5" s="14"/>
      <c r="E5" s="15" t="s">
        <v>10</v>
      </c>
      <c r="F5" s="6" t="e">
        <f t="shared" ca="1" si="0"/>
        <v>#VALUE!</v>
      </c>
      <c r="G5" s="17"/>
      <c r="H5" s="17"/>
      <c r="I5" s="46"/>
      <c r="J5" s="8" t="e">
        <f ca="1">IF(OR(TEXT(Today,"DDD")="Sat",TEXT(Today,"DDD")="Sun"),"",IF(NOT(DATEVALUE(I5)=Today),"----[ DUE ]----",""))</f>
        <v>#VALUE!</v>
      </c>
      <c r="K5" s="61"/>
      <c r="L5" s="58">
        <f ca="1">Today</f>
        <v>43791</v>
      </c>
      <c r="M5" s="15"/>
      <c r="N5" s="19"/>
      <c r="O5" s="11"/>
    </row>
    <row r="6" spans="1:15" x14ac:dyDescent="0.25">
      <c r="A6" s="49"/>
      <c r="B6" s="12"/>
      <c r="C6" s="42"/>
      <c r="D6" s="14"/>
      <c r="E6" s="15" t="s">
        <v>10</v>
      </c>
      <c r="F6" s="6" t="e">
        <f t="shared" ref="F6:F7" ca="1" si="1">IF(J6="----[ DUE ]----","Y","N")</f>
        <v>#VALUE!</v>
      </c>
      <c r="G6" s="17"/>
      <c r="H6" s="17"/>
      <c r="I6" s="46"/>
      <c r="J6" s="8" t="e">
        <f ca="1">IF(OR(TEXT(Today,"DDD")="Sat",TEXT(Today,"DDD")="Sun"),"",IF(NOT(DATEVALUE(I6)=Today),"----[ DUE ]----",""))</f>
        <v>#VALUE!</v>
      </c>
      <c r="K6" s="61"/>
      <c r="L6" s="63">
        <v>43792</v>
      </c>
      <c r="M6" s="15"/>
      <c r="N6" s="19"/>
      <c r="O6" s="11"/>
    </row>
    <row r="7" spans="1:15" x14ac:dyDescent="0.25">
      <c r="A7" s="49"/>
      <c r="B7" s="12"/>
      <c r="C7" s="42"/>
      <c r="D7" s="14"/>
      <c r="E7" s="15" t="s">
        <v>10</v>
      </c>
      <c r="F7" s="6" t="e">
        <f t="shared" ca="1" si="1"/>
        <v>#VALUE!</v>
      </c>
      <c r="G7" s="17"/>
      <c r="H7" s="17"/>
      <c r="I7" s="46"/>
      <c r="J7" s="8" t="e">
        <f ca="1">IF(OR(TEXT(Today,"DDD")="Sat",TEXT(Today,"DDD")="Sun"),"",IF(NOT(DATEVALUE(I7)=Today),"----[ DUE ]----",""))</f>
        <v>#VALUE!</v>
      </c>
      <c r="K7" s="61"/>
      <c r="L7" s="58">
        <f ca="1">Today</f>
        <v>43791</v>
      </c>
      <c r="M7" s="15"/>
      <c r="N7" s="19"/>
      <c r="O7" s="11"/>
    </row>
    <row r="8" spans="1:15" x14ac:dyDescent="0.25">
      <c r="A8" s="49"/>
      <c r="B8" s="12"/>
      <c r="C8" s="13"/>
      <c r="D8" s="13"/>
      <c r="E8" s="15"/>
      <c r="F8" s="16"/>
      <c r="G8" s="17"/>
      <c r="H8" s="17"/>
      <c r="I8" s="20"/>
      <c r="J8" s="8"/>
      <c r="K8" s="15"/>
      <c r="L8" s="15"/>
      <c r="M8" s="15"/>
      <c r="N8" s="19"/>
      <c r="O8" s="11"/>
    </row>
    <row r="9" spans="1:15" x14ac:dyDescent="0.25">
      <c r="A9" s="49"/>
      <c r="B9" s="12"/>
      <c r="C9" s="13"/>
      <c r="D9" s="13"/>
      <c r="E9" s="15"/>
      <c r="F9" s="16"/>
      <c r="G9" s="17"/>
      <c r="H9" s="17"/>
      <c r="I9" s="20"/>
      <c r="J9" s="18"/>
      <c r="K9" s="15"/>
      <c r="L9" s="15"/>
      <c r="M9" s="15"/>
      <c r="N9" s="19"/>
      <c r="O9" s="11"/>
    </row>
    <row r="10" spans="1:15" x14ac:dyDescent="0.25">
      <c r="A10" s="49"/>
      <c r="B10" s="12"/>
      <c r="C10" s="13"/>
      <c r="D10" s="13"/>
      <c r="E10" s="15"/>
      <c r="F10" s="16"/>
      <c r="G10" s="17"/>
      <c r="H10" s="17"/>
      <c r="I10" s="20"/>
      <c r="J10" s="18"/>
      <c r="K10" s="15"/>
      <c r="L10" s="15"/>
      <c r="M10" s="15"/>
      <c r="N10" s="19"/>
      <c r="O10" s="11"/>
    </row>
    <row r="11" spans="1:15" x14ac:dyDescent="0.25">
      <c r="A11" s="49"/>
      <c r="B11" s="12"/>
      <c r="C11" s="13"/>
      <c r="D11" s="13"/>
      <c r="E11" s="15"/>
      <c r="F11" s="16"/>
      <c r="G11" s="17"/>
      <c r="H11" s="17"/>
      <c r="I11" s="20"/>
      <c r="J11" s="18"/>
      <c r="K11" s="15"/>
      <c r="L11" s="15"/>
      <c r="M11" s="15"/>
      <c r="N11" s="19"/>
      <c r="O11" s="11"/>
    </row>
    <row r="12" spans="1:15" ht="15.75" thickBot="1" x14ac:dyDescent="0.3">
      <c r="A12" s="50"/>
      <c r="B12" s="21"/>
      <c r="C12" s="22"/>
      <c r="D12" s="22"/>
      <c r="E12" s="23"/>
      <c r="F12" s="24"/>
      <c r="G12" s="25"/>
      <c r="H12" s="25"/>
      <c r="I12" s="26"/>
      <c r="J12" s="27"/>
      <c r="K12" s="23"/>
      <c r="L12" s="23"/>
      <c r="M12" s="23"/>
      <c r="N12" s="28"/>
      <c r="O12" s="11"/>
    </row>
    <row r="13" spans="1:15" x14ac:dyDescent="0.25">
      <c r="A13" s="51" t="s">
        <v>12</v>
      </c>
      <c r="B13" s="29"/>
      <c r="C13" s="48"/>
      <c r="D13" s="30"/>
      <c r="E13" s="9" t="s">
        <v>13</v>
      </c>
      <c r="F13" s="47" t="str">
        <f t="shared" ref="F13:F14" ca="1" si="2">IF(J13="----[ DUE ]----","Y","N")</f>
        <v>N</v>
      </c>
      <c r="G13" s="32"/>
      <c r="H13" s="17"/>
      <c r="I13" s="44"/>
      <c r="J13" s="34" t="str">
        <f ca="1">IFERROR(IF(AND(Today&gt;=FirstOfWeek,NOT(DATEVALUE(I13)+1&gt;=FirstOfWeek)),"----[ DUE ]----",""),"")</f>
        <v/>
      </c>
      <c r="K13" s="59"/>
      <c r="L13" s="57">
        <f ca="1">FirstOfWeek</f>
        <v>43787</v>
      </c>
      <c r="M13" s="9"/>
      <c r="N13" s="10"/>
      <c r="O13" s="11"/>
    </row>
    <row r="14" spans="1:15" x14ac:dyDescent="0.25">
      <c r="A14" s="49"/>
      <c r="B14" s="12"/>
      <c r="C14" s="42"/>
      <c r="D14" s="14"/>
      <c r="E14" s="15" t="s">
        <v>13</v>
      </c>
      <c r="F14" s="6" t="str">
        <f t="shared" ca="1" si="2"/>
        <v>N</v>
      </c>
      <c r="G14" s="17"/>
      <c r="H14" s="17"/>
      <c r="I14" s="45"/>
      <c r="J14" s="18" t="str">
        <f ca="1">IFERROR(IF(AND(Today&gt;=FirstOfWeek,NOT(DATEVALUE(I14)+1&gt;=FirstOfWeek)),"----[ DUE ]----",""),"")</f>
        <v/>
      </c>
      <c r="K14" s="15"/>
      <c r="L14" s="58">
        <f ca="1">FirstOfWeek</f>
        <v>43787</v>
      </c>
      <c r="M14" s="15"/>
      <c r="N14" s="19"/>
      <c r="O14" s="11"/>
    </row>
    <row r="15" spans="1:15" x14ac:dyDescent="0.25">
      <c r="A15" s="49"/>
      <c r="B15" s="12"/>
      <c r="C15" s="42"/>
      <c r="D15" s="13"/>
      <c r="E15" s="15"/>
      <c r="F15" s="16"/>
      <c r="G15" s="17"/>
      <c r="H15" s="17"/>
      <c r="I15" s="45"/>
      <c r="J15" s="18"/>
      <c r="K15" s="15"/>
      <c r="L15" s="15"/>
      <c r="M15" s="15"/>
      <c r="N15" s="19"/>
      <c r="O15" s="11"/>
    </row>
    <row r="16" spans="1:15" x14ac:dyDescent="0.25">
      <c r="A16" s="49"/>
      <c r="B16" s="12"/>
      <c r="C16" s="14"/>
      <c r="D16" s="13"/>
      <c r="E16" s="15"/>
      <c r="F16" s="16"/>
      <c r="G16" s="17"/>
      <c r="H16" s="17"/>
      <c r="I16" s="20"/>
      <c r="J16" s="18"/>
      <c r="K16" s="15"/>
      <c r="L16" s="15"/>
      <c r="M16" s="15"/>
      <c r="N16" s="19"/>
      <c r="O16" s="11"/>
    </row>
    <row r="17" spans="1:15" x14ac:dyDescent="0.25">
      <c r="A17" s="49"/>
      <c r="B17" s="12"/>
      <c r="C17" s="13"/>
      <c r="D17" s="13"/>
      <c r="E17" s="15"/>
      <c r="F17" s="16"/>
      <c r="G17" s="17"/>
      <c r="H17" s="17"/>
      <c r="I17" s="20"/>
      <c r="J17" s="18"/>
      <c r="K17" s="15"/>
      <c r="L17" s="15"/>
      <c r="M17" s="15"/>
      <c r="N17" s="19"/>
      <c r="O17" s="11"/>
    </row>
    <row r="18" spans="1:15" x14ac:dyDescent="0.25">
      <c r="A18" s="49"/>
      <c r="B18" s="12"/>
      <c r="C18" s="13"/>
      <c r="D18" s="13"/>
      <c r="E18" s="15"/>
      <c r="F18" s="16"/>
      <c r="G18" s="17"/>
      <c r="H18" s="17"/>
      <c r="I18" s="20"/>
      <c r="J18" s="18"/>
      <c r="K18" s="15"/>
      <c r="L18" s="15"/>
      <c r="M18" s="15"/>
      <c r="N18" s="19"/>
      <c r="O18" s="11"/>
    </row>
    <row r="19" spans="1:15" x14ac:dyDescent="0.25">
      <c r="A19" s="49"/>
      <c r="B19" s="12"/>
      <c r="C19" s="13"/>
      <c r="D19" s="13"/>
      <c r="E19" s="15"/>
      <c r="F19" s="16"/>
      <c r="G19" s="17"/>
      <c r="H19" s="17"/>
      <c r="I19" s="20"/>
      <c r="J19" s="18"/>
      <c r="K19" s="15"/>
      <c r="L19" s="15"/>
      <c r="M19" s="15"/>
      <c r="N19" s="19"/>
      <c r="O19" s="11"/>
    </row>
    <row r="20" spans="1:15" x14ac:dyDescent="0.25">
      <c r="A20" s="49"/>
      <c r="B20" s="12"/>
      <c r="C20" s="13"/>
      <c r="D20" s="13"/>
      <c r="E20" s="15"/>
      <c r="F20" s="16"/>
      <c r="G20" s="17"/>
      <c r="H20" s="17"/>
      <c r="I20" s="20"/>
      <c r="J20" s="18"/>
      <c r="K20" s="15"/>
      <c r="L20" s="15"/>
      <c r="M20" s="15"/>
      <c r="N20" s="19"/>
      <c r="O20" s="11"/>
    </row>
    <row r="21" spans="1:15" x14ac:dyDescent="0.25">
      <c r="A21" s="49"/>
      <c r="B21" s="12"/>
      <c r="C21" s="13"/>
      <c r="D21" s="13"/>
      <c r="E21" s="15"/>
      <c r="F21" s="16"/>
      <c r="G21" s="17"/>
      <c r="H21" s="17"/>
      <c r="I21" s="20"/>
      <c r="J21" s="18"/>
      <c r="K21" s="15"/>
      <c r="L21" s="15"/>
      <c r="M21" s="15"/>
      <c r="N21" s="19"/>
      <c r="O21" s="11"/>
    </row>
    <row r="22" spans="1:15" x14ac:dyDescent="0.25">
      <c r="A22" s="49"/>
      <c r="B22" s="12"/>
      <c r="C22" s="42"/>
      <c r="D22" s="13"/>
      <c r="E22" s="15"/>
      <c r="F22" s="16"/>
      <c r="G22" s="17"/>
      <c r="H22" s="17"/>
      <c r="I22" s="45"/>
      <c r="J22" s="18"/>
      <c r="K22" s="15"/>
      <c r="L22" s="15"/>
      <c r="M22" s="15"/>
      <c r="N22" s="19"/>
      <c r="O22" s="11"/>
    </row>
    <row r="23" spans="1:15" ht="15.75" thickBot="1" x14ac:dyDescent="0.3">
      <c r="A23" s="50"/>
      <c r="B23" s="21"/>
      <c r="C23" s="22"/>
      <c r="D23" s="22"/>
      <c r="E23" s="23"/>
      <c r="F23" s="24"/>
      <c r="G23" s="25"/>
      <c r="H23" s="25"/>
      <c r="I23" s="26"/>
      <c r="J23" s="27"/>
      <c r="K23" s="23"/>
      <c r="L23" s="23"/>
      <c r="M23" s="23"/>
      <c r="N23" s="28"/>
      <c r="O23" s="11"/>
    </row>
    <row r="24" spans="1:15" x14ac:dyDescent="0.25">
      <c r="A24" s="51" t="s">
        <v>14</v>
      </c>
      <c r="B24" s="29"/>
      <c r="C24" s="48"/>
      <c r="D24" s="30"/>
      <c r="E24" s="9" t="s">
        <v>15</v>
      </c>
      <c r="F24" s="6" t="str">
        <f ca="1">IF(J24="----[ DUE ]----","Y","N")</f>
        <v>N</v>
      </c>
      <c r="G24" s="32"/>
      <c r="H24" s="32"/>
      <c r="I24" s="46"/>
      <c r="J24" s="34" t="str">
        <f ca="1">IFERROR(IF(AND(Today&gt;=FirstOfMonth,NOT(DATEVALUE(I24)&gt;=FirstOfMonth)),"----[ DUE ]----",""),"")</f>
        <v/>
      </c>
      <c r="K24" s="59"/>
      <c r="L24" s="57">
        <f ca="1">FirstOfMonth</f>
        <v>43770</v>
      </c>
      <c r="M24" s="9"/>
      <c r="N24" s="10"/>
      <c r="O24" s="11"/>
    </row>
    <row r="25" spans="1:15" x14ac:dyDescent="0.25">
      <c r="A25" s="49"/>
      <c r="B25" s="35"/>
      <c r="C25" s="13"/>
      <c r="D25" s="13"/>
      <c r="E25" s="15" t="s">
        <v>16</v>
      </c>
      <c r="F25" s="16" t="s">
        <v>11</v>
      </c>
      <c r="G25" s="17"/>
      <c r="H25" s="17"/>
      <c r="I25" s="45"/>
      <c r="J25" s="18" t="str">
        <f ca="1">IF(AND(Today&gt;=FirstOfMonth,NOT(I25&gt;=FirstOfMonth)),"----[ DUE ]----(Manual)","")</f>
        <v>----[ DUE ]----(Manual)</v>
      </c>
      <c r="K25" s="15"/>
      <c r="L25" s="15"/>
      <c r="M25" s="15"/>
      <c r="N25" s="19"/>
      <c r="O25" s="11"/>
    </row>
    <row r="26" spans="1:15" x14ac:dyDescent="0.25">
      <c r="A26" s="49"/>
      <c r="B26" s="35"/>
      <c r="C26" s="13"/>
      <c r="D26" s="13"/>
      <c r="E26" s="15"/>
      <c r="F26" s="16"/>
      <c r="G26" s="17"/>
      <c r="H26" s="17"/>
      <c r="I26" s="20"/>
      <c r="J26" s="18"/>
      <c r="K26" s="15"/>
      <c r="L26" s="15"/>
      <c r="M26" s="15"/>
      <c r="N26" s="19"/>
      <c r="O26" s="11"/>
    </row>
    <row r="27" spans="1:15" x14ac:dyDescent="0.25">
      <c r="A27" s="49"/>
      <c r="B27" s="35"/>
      <c r="C27" s="13"/>
      <c r="D27" s="13"/>
      <c r="E27" s="15"/>
      <c r="F27" s="16"/>
      <c r="G27" s="17"/>
      <c r="H27" s="17"/>
      <c r="I27" s="20"/>
      <c r="J27" s="18"/>
      <c r="K27" s="15"/>
      <c r="L27" s="15"/>
      <c r="M27" s="15"/>
      <c r="N27" s="19"/>
      <c r="O27" s="11"/>
    </row>
    <row r="28" spans="1:15" x14ac:dyDescent="0.25">
      <c r="A28" s="49"/>
      <c r="B28" s="35"/>
      <c r="C28" s="13"/>
      <c r="D28" s="13"/>
      <c r="E28" s="15"/>
      <c r="F28" s="16"/>
      <c r="G28" s="17"/>
      <c r="H28" s="17"/>
      <c r="I28" s="20"/>
      <c r="J28" s="18"/>
      <c r="K28" s="15"/>
      <c r="L28" s="15"/>
      <c r="M28" s="15"/>
      <c r="N28" s="19"/>
      <c r="O28" s="11"/>
    </row>
    <row r="29" spans="1:15" x14ac:dyDescent="0.25">
      <c r="A29" s="49"/>
      <c r="B29" s="35"/>
      <c r="C29" s="13"/>
      <c r="D29" s="13"/>
      <c r="E29" s="15"/>
      <c r="F29" s="16"/>
      <c r="G29" s="17"/>
      <c r="H29" s="17"/>
      <c r="I29" s="20"/>
      <c r="J29" s="18"/>
      <c r="K29" s="15"/>
      <c r="L29" s="15"/>
      <c r="M29" s="15"/>
      <c r="N29" s="19"/>
      <c r="O29" s="11"/>
    </row>
    <row r="30" spans="1:15" x14ac:dyDescent="0.25">
      <c r="A30" s="49"/>
      <c r="B30" s="35"/>
      <c r="C30" s="13"/>
      <c r="D30" s="13"/>
      <c r="E30" s="15"/>
      <c r="F30" s="16"/>
      <c r="G30" s="17"/>
      <c r="H30" s="17"/>
      <c r="I30" s="20"/>
      <c r="J30" s="18"/>
      <c r="K30" s="15"/>
      <c r="L30" s="15"/>
      <c r="M30" s="15"/>
      <c r="N30" s="19"/>
      <c r="O30" s="11"/>
    </row>
    <row r="31" spans="1:15" x14ac:dyDescent="0.25">
      <c r="A31" s="49"/>
      <c r="B31" s="35"/>
      <c r="C31" s="13"/>
      <c r="D31" s="13"/>
      <c r="E31" s="15"/>
      <c r="F31" s="16"/>
      <c r="G31" s="17"/>
      <c r="H31" s="17"/>
      <c r="I31" s="20"/>
      <c r="J31" s="18"/>
      <c r="K31" s="15"/>
      <c r="L31" s="15"/>
      <c r="M31" s="15"/>
      <c r="N31" s="19"/>
      <c r="O31" s="11"/>
    </row>
    <row r="32" spans="1:15" x14ac:dyDescent="0.25">
      <c r="A32" s="49"/>
      <c r="B32" s="35"/>
      <c r="C32" s="13"/>
      <c r="D32" s="13"/>
      <c r="E32" s="15" t="s">
        <v>16</v>
      </c>
      <c r="F32" s="16" t="s">
        <v>11</v>
      </c>
      <c r="G32" s="17"/>
      <c r="H32" s="17"/>
      <c r="I32" s="45"/>
      <c r="J32" s="18" t="str">
        <f ca="1">IF(AND(Today&gt;=FirstOfMonth,NOT(I32&gt;=FirstOfMonth)),"----[ DUE ]---- (manual)","")</f>
        <v>----[ DUE ]---- (manual)</v>
      </c>
      <c r="K32" s="15"/>
      <c r="L32" s="15"/>
      <c r="M32" s="15"/>
      <c r="N32" s="19"/>
      <c r="O32" s="11"/>
    </row>
    <row r="33" spans="1:15" x14ac:dyDescent="0.25">
      <c r="A33" s="49"/>
      <c r="B33" s="12"/>
      <c r="C33" s="13"/>
      <c r="D33" s="13"/>
      <c r="E33" s="15"/>
      <c r="F33" s="16"/>
      <c r="G33" s="17"/>
      <c r="H33" s="17"/>
      <c r="I33" s="20"/>
      <c r="J33" s="18"/>
      <c r="K33" s="15"/>
      <c r="L33" s="15"/>
      <c r="M33" s="15"/>
      <c r="N33" s="19"/>
      <c r="O33" s="11"/>
    </row>
    <row r="34" spans="1:15" ht="15.75" thickBot="1" x14ac:dyDescent="0.3">
      <c r="A34" s="50"/>
      <c r="B34" s="21"/>
      <c r="C34" s="22"/>
      <c r="D34" s="22"/>
      <c r="E34" s="23"/>
      <c r="F34" s="24"/>
      <c r="G34" s="25"/>
      <c r="H34" s="25"/>
      <c r="I34" s="26"/>
      <c r="J34" s="27"/>
      <c r="K34" s="23"/>
      <c r="L34" s="23"/>
      <c r="M34" s="23"/>
      <c r="N34" s="28"/>
      <c r="O34" s="11"/>
    </row>
    <row r="35" spans="1:15" x14ac:dyDescent="0.25">
      <c r="A35" s="51" t="s">
        <v>17</v>
      </c>
      <c r="B35" s="29"/>
      <c r="C35" s="3"/>
      <c r="D35" s="3"/>
      <c r="E35" s="9"/>
      <c r="F35" s="31"/>
      <c r="G35" s="32"/>
      <c r="H35" s="32"/>
      <c r="I35" s="33"/>
      <c r="J35" s="34"/>
      <c r="K35" s="9"/>
      <c r="L35" s="9"/>
      <c r="M35" s="9"/>
      <c r="N35" s="10"/>
      <c r="O35" s="11"/>
    </row>
    <row r="36" spans="1:15" x14ac:dyDescent="0.25">
      <c r="A36" s="49"/>
      <c r="B36" s="12"/>
      <c r="C36" s="13"/>
      <c r="D36" s="13"/>
      <c r="E36" s="15"/>
      <c r="F36" s="16"/>
      <c r="G36" s="17"/>
      <c r="H36" s="17"/>
      <c r="I36" s="20"/>
      <c r="J36" s="18"/>
      <c r="K36" s="15"/>
      <c r="L36" s="15"/>
      <c r="M36" s="15"/>
      <c r="N36" s="19"/>
      <c r="O36" s="11"/>
    </row>
    <row r="37" spans="1:15" x14ac:dyDescent="0.25">
      <c r="A37" s="49"/>
      <c r="B37" s="12"/>
      <c r="C37" s="13"/>
      <c r="D37" s="13"/>
      <c r="E37" s="15"/>
      <c r="F37" s="16"/>
      <c r="G37" s="17"/>
      <c r="H37" s="43"/>
      <c r="I37" s="20"/>
      <c r="J37" s="18"/>
      <c r="K37" s="15"/>
      <c r="L37" s="15"/>
      <c r="M37" s="15"/>
      <c r="N37" s="19"/>
      <c r="O37" s="11"/>
    </row>
    <row r="38" spans="1:15" x14ac:dyDescent="0.25">
      <c r="A38" s="49"/>
      <c r="B38" s="12"/>
      <c r="C38" s="13"/>
      <c r="D38" s="13"/>
      <c r="E38" s="15"/>
      <c r="F38" s="16"/>
      <c r="G38" s="17"/>
      <c r="H38" s="17"/>
      <c r="I38" s="20"/>
      <c r="J38" s="18"/>
      <c r="K38" s="15"/>
      <c r="L38" s="15"/>
      <c r="M38" s="15"/>
      <c r="N38" s="19"/>
      <c r="O38" s="11"/>
    </row>
    <row r="39" spans="1:15" x14ac:dyDescent="0.25">
      <c r="A39" s="49"/>
      <c r="B39" s="12"/>
      <c r="C39" s="13"/>
      <c r="D39" s="13"/>
      <c r="E39" s="15"/>
      <c r="F39" s="16"/>
      <c r="G39" s="17"/>
      <c r="H39" s="17"/>
      <c r="I39" s="20"/>
      <c r="J39" s="18"/>
      <c r="K39" s="15"/>
      <c r="L39" s="15"/>
      <c r="M39" s="15"/>
      <c r="N39" s="19"/>
      <c r="O39" s="11"/>
    </row>
    <row r="40" spans="1:15" x14ac:dyDescent="0.25">
      <c r="A40" s="49"/>
      <c r="B40" s="12"/>
      <c r="C40" s="13"/>
      <c r="D40" s="13"/>
      <c r="E40" s="15"/>
      <c r="F40" s="16"/>
      <c r="G40" s="17"/>
      <c r="H40" s="17"/>
      <c r="I40" s="20"/>
      <c r="J40" s="18"/>
      <c r="K40" s="15"/>
      <c r="L40" s="15"/>
      <c r="M40" s="15"/>
      <c r="N40" s="19"/>
      <c r="O40" s="11"/>
    </row>
    <row r="41" spans="1:15" x14ac:dyDescent="0.25">
      <c r="A41" s="49"/>
      <c r="B41" s="12"/>
      <c r="C41" s="13"/>
      <c r="D41" s="13"/>
      <c r="E41" s="15"/>
      <c r="F41" s="16"/>
      <c r="G41" s="17"/>
      <c r="H41" s="17"/>
      <c r="I41" s="20"/>
      <c r="J41" s="18"/>
      <c r="K41" s="15"/>
      <c r="L41" s="15"/>
      <c r="M41" s="15"/>
      <c r="N41" s="19"/>
      <c r="O41" s="11"/>
    </row>
    <row r="42" spans="1:15" x14ac:dyDescent="0.25">
      <c r="A42" s="49"/>
      <c r="B42" s="12"/>
      <c r="C42" s="13"/>
      <c r="D42" s="13"/>
      <c r="E42" s="15"/>
      <c r="F42" s="16"/>
      <c r="G42" s="17"/>
      <c r="H42" s="17"/>
      <c r="I42" s="20"/>
      <c r="J42" s="18"/>
      <c r="K42" s="15"/>
      <c r="L42" s="15"/>
      <c r="M42" s="15"/>
      <c r="N42" s="19"/>
      <c r="O42" s="11"/>
    </row>
    <row r="43" spans="1:15" x14ac:dyDescent="0.25">
      <c r="A43" s="49"/>
      <c r="B43" s="12"/>
      <c r="C43" s="13"/>
      <c r="D43" s="13"/>
      <c r="E43" s="15"/>
      <c r="F43" s="16"/>
      <c r="G43" s="17"/>
      <c r="H43" s="17"/>
      <c r="I43" s="20"/>
      <c r="J43" s="18"/>
      <c r="K43" s="15"/>
      <c r="L43" s="15"/>
      <c r="M43" s="15"/>
      <c r="N43" s="19"/>
      <c r="O43" s="11"/>
    </row>
    <row r="44" spans="1:15" x14ac:dyDescent="0.25">
      <c r="A44" s="49"/>
      <c r="B44" s="12"/>
      <c r="C44" s="13"/>
      <c r="D44" s="13"/>
      <c r="E44" s="15"/>
      <c r="F44" s="16"/>
      <c r="G44" s="17"/>
      <c r="H44" s="17"/>
      <c r="I44" s="20"/>
      <c r="J44" s="18"/>
      <c r="K44" s="15"/>
      <c r="L44" s="15"/>
      <c r="M44" s="15"/>
      <c r="N44" s="19"/>
      <c r="O44" s="11"/>
    </row>
    <row r="45" spans="1:15" ht="15.75" thickBot="1" x14ac:dyDescent="0.3">
      <c r="A45" s="50"/>
      <c r="B45" s="21"/>
      <c r="C45" s="22"/>
      <c r="D45" s="22"/>
      <c r="E45" s="23"/>
      <c r="F45" s="24"/>
      <c r="G45" s="25"/>
      <c r="H45" s="25"/>
      <c r="I45" s="26"/>
      <c r="J45" s="27"/>
      <c r="K45" s="23"/>
      <c r="L45" s="23"/>
      <c r="M45" s="23"/>
      <c r="N45" s="28"/>
      <c r="O45" s="11"/>
    </row>
    <row r="46" spans="1:15" x14ac:dyDescent="0.25"/>
    <row r="47" spans="1:15" x14ac:dyDescent="0.25">
      <c r="C47" s="60" t="s">
        <v>28</v>
      </c>
      <c r="D47" s="62" t="s">
        <v>29</v>
      </c>
    </row>
    <row r="48" spans="1:15" x14ac:dyDescent="0.25"/>
    <row r="49" spans="1:1" x14ac:dyDescent="0.25">
      <c r="A49" s="38" t="s">
        <v>18</v>
      </c>
    </row>
    <row r="50" spans="1:1" x14ac:dyDescent="0.25"/>
    <row r="51" spans="1:1" ht="15" hidden="1" customHeight="1" x14ac:dyDescent="0.25"/>
    <row r="52" spans="1:1" ht="15" hidden="1" customHeight="1" x14ac:dyDescent="0.25"/>
    <row r="53" spans="1:1" ht="15" hidden="1" customHeight="1" x14ac:dyDescent="0.25"/>
    <row r="54" spans="1:1" ht="15" hidden="1" customHeight="1" x14ac:dyDescent="0.25"/>
    <row r="55" spans="1:1" ht="15" hidden="1" customHeight="1" x14ac:dyDescent="0.25"/>
    <row r="56" spans="1:1" ht="15" hidden="1" customHeight="1" x14ac:dyDescent="0.25"/>
    <row r="57" spans="1:1" ht="15" hidden="1" customHeight="1" x14ac:dyDescent="0.25"/>
    <row r="58" spans="1:1" ht="15" hidden="1" customHeight="1" x14ac:dyDescent="0.25"/>
    <row r="59" spans="1:1" ht="15" hidden="1" customHeight="1" x14ac:dyDescent="0.25"/>
    <row r="60" spans="1:1" ht="15" hidden="1" customHeight="1" x14ac:dyDescent="0.25"/>
    <row r="61" spans="1:1" ht="15" hidden="1" customHeight="1" x14ac:dyDescent="0.25"/>
    <row r="62" spans="1:1" ht="15" hidden="1" customHeight="1" x14ac:dyDescent="0.25"/>
    <row r="63" spans="1:1" ht="15" hidden="1" customHeight="1" x14ac:dyDescent="0.25"/>
    <row r="64" spans="1:1" ht="15" hidden="1" customHeight="1" x14ac:dyDescent="0.25"/>
    <row r="65" ht="15" hidden="1" customHeight="1" x14ac:dyDescent="0.25"/>
    <row r="66" ht="15" hidden="1" customHeight="1" x14ac:dyDescent="0.25"/>
    <row r="67" ht="15" hidden="1" customHeight="1" x14ac:dyDescent="0.25"/>
    <row r="68" ht="15" hidden="1" customHeight="1" x14ac:dyDescent="0.25"/>
    <row r="69" ht="15" hidden="1" customHeight="1" x14ac:dyDescent="0.25"/>
    <row r="70" ht="15" hidden="1" customHeight="1" x14ac:dyDescent="0.25"/>
    <row r="71" ht="15" hidden="1" customHeight="1" x14ac:dyDescent="0.25"/>
    <row r="72" ht="15" hidden="1" customHeight="1" x14ac:dyDescent="0.25"/>
    <row r="73" ht="15" hidden="1" customHeight="1" x14ac:dyDescent="0.25"/>
    <row r="74" ht="15" hidden="1" customHeight="1" x14ac:dyDescent="0.25"/>
  </sheetData>
  <mergeCells count="4">
    <mergeCell ref="A2:A12"/>
    <mergeCell ref="A13:A23"/>
    <mergeCell ref="A24:A34"/>
    <mergeCell ref="A35:A45"/>
  </mergeCells>
  <conditionalFormatting sqref="F1:F5 F23:F1048576 F8:F12 F14:F21">
    <cfRule type="containsText" dxfId="9" priority="15" operator="containsText" text="MANUAL">
      <formula>NOT(ISERROR(SEARCH("MANUAL",F1)))</formula>
    </cfRule>
    <cfRule type="containsText" dxfId="8" priority="16" operator="containsText" text="Y">
      <formula>NOT(ISERROR(SEARCH("Y",F1)))</formula>
    </cfRule>
  </conditionalFormatting>
  <conditionalFormatting sqref="F22">
    <cfRule type="containsText" dxfId="7" priority="13" operator="containsText" text="MANUAL">
      <formula>NOT(ISERROR(SEARCH("MANUAL",F22)))</formula>
    </cfRule>
    <cfRule type="containsText" dxfId="6" priority="14" operator="containsText" text="Y">
      <formula>NOT(ISERROR(SEARCH("Y",F22)))</formula>
    </cfRule>
  </conditionalFormatting>
  <conditionalFormatting sqref="F6">
    <cfRule type="containsText" dxfId="5" priority="7" operator="containsText" text="MANUAL">
      <formula>NOT(ISERROR(SEARCH("MANUAL",F6)))</formula>
    </cfRule>
    <cfRule type="containsText" dxfId="4" priority="8" operator="containsText" text="Y">
      <formula>NOT(ISERROR(SEARCH("Y",F6)))</formula>
    </cfRule>
  </conditionalFormatting>
  <conditionalFormatting sqref="F13">
    <cfRule type="containsText" dxfId="3" priority="3" operator="containsText" text="MANUAL">
      <formula>NOT(ISERROR(SEARCH("MANUAL",F13)))</formula>
    </cfRule>
    <cfRule type="containsText" dxfId="2" priority="4" operator="containsText" text="Y">
      <formula>NOT(ISERROR(SEARCH("Y",F13)))</formula>
    </cfRule>
  </conditionalFormatting>
  <conditionalFormatting sqref="F7">
    <cfRule type="containsText" dxfId="1" priority="1" operator="containsText" text="MANUAL">
      <formula>NOT(ISERROR(SEARCH("MANUAL",F7)))</formula>
    </cfRule>
    <cfRule type="containsText" dxfId="0" priority="2" operator="containsText" text="Y">
      <formula>NOT(ISERROR(SEARCH("Y",F7)))</formula>
    </cfRule>
  </conditionalFormatting>
  <hyperlinks>
    <hyperlink ref="D47" r:id="rId1" xr:uid="{0408509D-6760-4960-B216-199EA79A9BCF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Generate">
                <anchor moveWithCells="1" sizeWithCells="1">
                  <from>
                    <xdr:col>0</xdr:col>
                    <xdr:colOff>66675</xdr:colOff>
                    <xdr:row>45</xdr:row>
                    <xdr:rowOff>123825</xdr:rowOff>
                  </from>
                  <to>
                    <xdr:col>1</xdr:col>
                    <xdr:colOff>1123950</xdr:colOff>
                    <xdr:row>47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3F184-7714-415D-B580-905C820FAF68}">
  <sheetPr codeName="Sheet2"/>
  <dimension ref="A1:H26"/>
  <sheetViews>
    <sheetView workbookViewId="0">
      <selection activeCell="C6" sqref="C6"/>
    </sheetView>
  </sheetViews>
  <sheetFormatPr defaultRowHeight="15" x14ac:dyDescent="0.25"/>
  <cols>
    <col min="1" max="1" width="20.7109375" customWidth="1"/>
    <col min="2" max="2" width="10.7109375" bestFit="1" customWidth="1"/>
    <col min="8" max="8" width="10.7109375" bestFit="1" customWidth="1"/>
  </cols>
  <sheetData>
    <row r="1" spans="1:8" x14ac:dyDescent="0.25">
      <c r="A1" t="s">
        <v>19</v>
      </c>
      <c r="B1" s="39">
        <f ca="1">TODAY()</f>
        <v>43791</v>
      </c>
      <c r="H1" s="40" t="s">
        <v>20</v>
      </c>
    </row>
    <row r="2" spans="1:8" x14ac:dyDescent="0.25">
      <c r="A2" t="s">
        <v>21</v>
      </c>
      <c r="B2" s="39">
        <f ca="1">WORKDAY(EOMONTH(B1,-1),1,$H$2:$H$26)</f>
        <v>43770</v>
      </c>
      <c r="H2" s="39">
        <v>43745</v>
      </c>
    </row>
    <row r="3" spans="1:8" x14ac:dyDescent="0.25">
      <c r="A3" t="s">
        <v>22</v>
      </c>
      <c r="H3" s="41">
        <v>43824</v>
      </c>
    </row>
    <row r="4" spans="1:8" x14ac:dyDescent="0.25">
      <c r="A4" t="s">
        <v>23</v>
      </c>
      <c r="B4" s="39">
        <f ca="1">Today-WEEKDAY(Today,3)</f>
        <v>43787</v>
      </c>
      <c r="H4" s="41">
        <v>43825</v>
      </c>
    </row>
    <row r="5" spans="1:8" x14ac:dyDescent="0.25">
      <c r="A5" t="s">
        <v>24</v>
      </c>
      <c r="B5" s="39">
        <f ca="1">Today-WEEKDAY(Today,1)+6</f>
        <v>43791</v>
      </c>
      <c r="H5" s="39">
        <v>43831</v>
      </c>
    </row>
    <row r="6" spans="1:8" x14ac:dyDescent="0.25">
      <c r="A6" t="s">
        <v>25</v>
      </c>
      <c r="B6" t="str">
        <f ca="1">TEXT(Today,"DDDD")</f>
        <v>Friday</v>
      </c>
      <c r="H6" s="39">
        <v>43857</v>
      </c>
    </row>
    <row r="7" spans="1:8" x14ac:dyDescent="0.25">
      <c r="H7" s="39">
        <v>43931</v>
      </c>
    </row>
    <row r="8" spans="1:8" x14ac:dyDescent="0.25">
      <c r="H8" s="39">
        <v>43932</v>
      </c>
    </row>
    <row r="9" spans="1:8" x14ac:dyDescent="0.25">
      <c r="H9" s="39">
        <v>43933</v>
      </c>
    </row>
    <row r="10" spans="1:8" x14ac:dyDescent="0.25">
      <c r="H10" s="39">
        <v>43934</v>
      </c>
    </row>
    <row r="11" spans="1:8" x14ac:dyDescent="0.25">
      <c r="H11" s="39">
        <v>43946</v>
      </c>
    </row>
    <row r="12" spans="1:8" x14ac:dyDescent="0.25">
      <c r="H12" s="39">
        <v>43990</v>
      </c>
    </row>
    <row r="13" spans="1:8" x14ac:dyDescent="0.25">
      <c r="H13" s="39">
        <v>44109</v>
      </c>
    </row>
    <row r="14" spans="1:8" x14ac:dyDescent="0.25">
      <c r="H14" s="39">
        <v>44190</v>
      </c>
    </row>
    <row r="15" spans="1:8" x14ac:dyDescent="0.25">
      <c r="H15" s="39">
        <v>44193</v>
      </c>
    </row>
    <row r="16" spans="1:8" x14ac:dyDescent="0.25">
      <c r="H16" s="39">
        <v>44197</v>
      </c>
    </row>
    <row r="17" spans="8:8" x14ac:dyDescent="0.25">
      <c r="H17" s="39">
        <v>44222</v>
      </c>
    </row>
    <row r="18" spans="8:8" x14ac:dyDescent="0.25">
      <c r="H18" s="39">
        <v>44288</v>
      </c>
    </row>
    <row r="19" spans="8:8" x14ac:dyDescent="0.25">
      <c r="H19" s="39">
        <v>44289</v>
      </c>
    </row>
    <row r="20" spans="8:8" x14ac:dyDescent="0.25">
      <c r="H20" s="39">
        <v>44290</v>
      </c>
    </row>
    <row r="21" spans="8:8" x14ac:dyDescent="0.25">
      <c r="H21" s="39">
        <v>44291</v>
      </c>
    </row>
    <row r="22" spans="8:8" x14ac:dyDescent="0.25">
      <c r="H22" s="39">
        <v>44312</v>
      </c>
    </row>
    <row r="23" spans="8:8" x14ac:dyDescent="0.25">
      <c r="H23" s="39">
        <v>44361</v>
      </c>
    </row>
    <row r="24" spans="8:8" x14ac:dyDescent="0.25">
      <c r="H24" s="39">
        <v>44473</v>
      </c>
    </row>
    <row r="25" spans="8:8" x14ac:dyDescent="0.25">
      <c r="H25" s="39">
        <v>44557</v>
      </c>
    </row>
    <row r="26" spans="8:8" x14ac:dyDescent="0.25">
      <c r="H26" s="39">
        <v>44557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MASTER</vt:lpstr>
      <vt:lpstr>LU</vt:lpstr>
      <vt:lpstr>FailEmail</vt:lpstr>
      <vt:lpstr>FirstOfMonth</vt:lpstr>
      <vt:lpstr>FirstOfWeek</vt:lpstr>
      <vt:lpstr>LastOfWeek</vt:lpstr>
      <vt:lpstr>Textday</vt:lpstr>
      <vt:lpstr>Today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Joerg Wood</dc:creator>
  <cp:lastModifiedBy>Joerg Wood</cp:lastModifiedBy>
  <dcterms:created xsi:type="dcterms:W3CDTF">2015-06-05T18:17:20Z</dcterms:created>
  <dcterms:modified xsi:type="dcterms:W3CDTF">2019-11-22T00:18:13Z</dcterms:modified>
</cp:coreProperties>
</file>